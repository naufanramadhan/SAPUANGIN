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01_EXECUTIVE_DASHBOARD" sheetId="1" state="visible" r:id="rId5"/>
    <sheet name="02_INPUT_VARIABLES" sheetId="2" state="visible" r:id="rId6"/>
    <sheet name="03_KINEMATIC_CASCADE_CALC" sheetId="3" state="visible" r:id="rId7"/>
    <sheet name="04_LOAD_TRANSFER_ROLL_GRIP" sheetId="4" state="visible" r:id="rId8"/>
    <sheet name="05_STRUCTURAL_STRESS_BUCKLING" sheetId="5" state="visible" r:id="rId9"/>
    <sheet name="06_SIMULATION_CONFIG" sheetId="6" r:id="rId10"/>
  </sheets>
  <definedNames/>
  <calcPr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<sst xmlns="http://schemas.openxmlformats.org/spreadsheetml/2006/main" xmlns:r="http://schemas.openxmlformats.org/officeDocument/2006/relationships" xmlns:xdr="http://schemas.openxmlformats.org/drawingml/2006/spreadsheetDrawing" count="934" uniqueCount="557">
  <si>
    <t>KINEMATIC CASCADE &amp; GEOMETRY DEPENDENCY CALCULATIONS</t>
  </si>
  <si>
    <t>FORMULA STUDENT VEHICLE DYNAMICS - DUAL-AXLE PARAMETRIC INPUT MASTER</t>
  </si>
  <si>
    <t>FORMULA STUDENT VEHICLE DYNAMICS - TRACKWIDTH &amp; KINEMATIC SENSITIVITY MASTER V7</t>
  </si>
  <si>
    <t>Independent Front &amp; Rear Axle Hardpoint Specifications (RCVD Ch. 16-18, FSAE 2026 Rules)</t>
  </si>
  <si>
    <t>Parameter Description</t>
  </si>
  <si>
    <t>Master Kinematic &amp; Dynamic Cascade Evaluation: Baseline (1200mm) vs Dual-Axle Coupled Proposed Redesign (1280mm)</t>
  </si>
  <si>
    <t>Category</t>
  </si>
  <si>
    <t>Symbol</t>
  </si>
  <si>
    <t>Subsystem / Metric Parameter</t>
  </si>
  <si>
    <t>Variable Description</t>
  </si>
  <si>
    <t>Unit</t>
  </si>
  <si>
    <t>Formula / Derivation</t>
  </si>
  <si>
    <t>Baseline Value (1200mm)</t>
  </si>
  <si>
    <t>Proposed Value (1280mm)</t>
  </si>
  <si>
    <t>Textbook / Engineering Source</t>
  </si>
  <si>
    <t>Engineering Reference / Source</t>
  </si>
  <si>
    <t>Delta / Change</t>
  </si>
  <si>
    <t>SEKSI 1: FRONT AXLE KINEMATICS &amp; STEERING LINKAGE</t>
  </si>
  <si>
    <t>Environment</t>
  </si>
  <si>
    <t>Target &amp; FSAE Rule Validation Status</t>
  </si>
  <si>
    <t>Front Trackwidth</t>
  </si>
  <si>
    <t>Gravitational Acceleration</t>
  </si>
  <si>
    <t>Front Lower Wishbone Length</t>
  </si>
  <si>
    <t>T_f</t>
  </si>
  <si>
    <t>g</t>
  </si>
  <si>
    <t>L_lower_f</t>
  </si>
  <si>
    <t>mm</t>
  </si>
  <si>
    <t>m/s^2</t>
  </si>
  <si>
    <t>Input from 02_INPUT_VARIABLES</t>
  </si>
  <si>
    <t>Standard Physics (RCVD Ch. 18)</t>
  </si>
  <si>
    <t>Vehicle Mass</t>
  </si>
  <si>
    <t>Total Vehicle Mass (inc. Driver)</t>
  </si>
  <si>
    <t>m_total</t>
  </si>
  <si>
    <t>kg</t>
  </si>
  <si>
    <t>Weigh-in Target (RCVD Ch. 18.2)</t>
  </si>
  <si>
    <t>Front Weight Distribution Fraction</t>
  </si>
  <si>
    <t>WD_f</t>
  </si>
  <si>
    <t>%</t>
  </si>
  <si>
    <t>Target Balance (RCVD Ch. 18.2)</t>
  </si>
  <si>
    <t>Front Unsprung Mass (Total Axle)</t>
  </si>
  <si>
    <t>m_uf</t>
  </si>
  <si>
    <t>Front Axle Assembly (RCVD Ch. 18.2)</t>
  </si>
  <si>
    <t>Rear Unsprung Mass (Total Axle)</t>
  </si>
  <si>
    <t>m_ur</t>
  </si>
  <si>
    <t>Rear Axle Assembly (RCVD Ch. 18.2)</t>
  </si>
  <si>
    <t>Track Geometry</t>
  </si>
  <si>
    <t>RCVD Ch. 17</t>
  </si>
  <si>
    <t>Front Upper Wishbone Length (Proportional)</t>
  </si>
  <si>
    <t>L_upper_f</t>
  </si>
  <si>
    <t>L_lower_f * Ratio_UL_f</t>
  </si>
  <si>
    <t>Primary Input (FSAE Rule V.1.3)</t>
  </si>
  <si>
    <t>Rear Trackwidth</t>
  </si>
  <si>
    <t>T_r</t>
  </si>
  <si>
    <t>Wheelbase Geometry</t>
  </si>
  <si>
    <t>Vehicle Wheelbase</t>
  </si>
  <si>
    <t>L</t>
  </si>
  <si>
    <t>Primary Input (FSAE Rule V.1.2)</t>
  </si>
  <si>
    <t>CG Geometry</t>
  </si>
  <si>
    <t>Total Vehicle CG Height from Ground</t>
  </si>
  <si>
    <t>h</t>
  </si>
  <si>
    <t>Tilt Table Test (RCVD Ch. 18.2)</t>
  </si>
  <si>
    <t>Front Unsprung CG Height</t>
  </si>
  <si>
    <t>Race Car Design Ch. 6</t>
  </si>
  <si>
    <t>Front Kingpin Inclination Angle (KPI)</t>
  </si>
  <si>
    <t>theta_KPI_f</t>
  </si>
  <si>
    <t>deg</t>
  </si>
  <si>
    <t>h_uf</t>
  </si>
  <si>
    <t>Front Wheel Center (RCVD Ch. 18.2)</t>
  </si>
  <si>
    <t>Rear Unsprung CG Height</t>
  </si>
  <si>
    <t>h_ur</t>
  </si>
  <si>
    <t>RCVD Ch. 17.2</t>
  </si>
  <si>
    <t>Front Scrub Radius Target</t>
  </si>
  <si>
    <t>R_scrub_f</t>
  </si>
  <si>
    <t>Rear Wheel Center (RCVD Ch. 18.2)</t>
  </si>
  <si>
    <t>Roll Center</t>
  </si>
  <si>
    <t>Front Roll Center Height</t>
  </si>
  <si>
    <t>z_RF</t>
  </si>
  <si>
    <t>Front Kinematic RC (RCVD Ch. 16.3)</t>
  </si>
  <si>
    <t>Rear Roll Center Height</t>
  </si>
  <si>
    <t>z_RR</t>
  </si>
  <si>
    <t>Rear Kinematic RC (RCVD Ch. 16.3)</t>
  </si>
  <si>
    <t>Front Wishbone</t>
  </si>
  <si>
    <t>Front Lower Wishbone Arm Length</t>
  </si>
  <si>
    <t>Front Suspension Hardpoint (RCVD Ch. 17)</t>
  </si>
  <si>
    <t>Front upper Wishbone Arm Length</t>
  </si>
  <si>
    <t>Front Upper-to-Lower Arm Length Ratio</t>
  </si>
  <si>
    <t>Ratio_UL_f</t>
  </si>
  <si>
    <t>-</t>
  </si>
  <si>
    <t>Front View Swing Arm Length (FVSA)</t>
  </si>
  <si>
    <t>L_FVSA_f</t>
  </si>
  <si>
    <t>L_lower_f / (1 - Ratio_UL_f)</t>
  </si>
  <si>
    <t>Front SLA Ratio (Race Car Design)</t>
  </si>
  <si>
    <t>Front Chassis Inboard Lower Pivot Width</t>
  </si>
  <si>
    <t>W_inboard_lf</t>
  </si>
  <si>
    <t>Front Pedalbox Frame (Rule V.1)</t>
  </si>
  <si>
    <t>Front Alignment</t>
  </si>
  <si>
    <t>Front Static Camber Angle</t>
  </si>
  <si>
    <t>gamma_0f</t>
  </si>
  <si>
    <t>Alignment Setup (Tune to Win Ch. 3)</t>
  </si>
  <si>
    <t>RCVD Ch. 17.3</t>
  </si>
  <si>
    <t>Front Camber Gain Rate in Roll</t>
  </si>
  <si>
    <t>dgamma_f/dphi</t>
  </si>
  <si>
    <t>deg/deg</t>
  </si>
  <si>
    <t>(h_s - z_RF) / L_FVSA_f</t>
  </si>
  <si>
    <t>Front Upright (Race Car Design Ch. 6)</t>
  </si>
  <si>
    <t>Front Caster Angle</t>
  </si>
  <si>
    <t>theta_caster_f</t>
  </si>
  <si>
    <t>Front Kingpin Offset at Wheel Center</t>
  </si>
  <si>
    <t>d_KPI_f</t>
  </si>
  <si>
    <t>Front Wheel Rim Offset</t>
  </si>
  <si>
    <t>W_offset_f</t>
  </si>
  <si>
    <t>keizer wheels R10x1.25</t>
  </si>
  <si>
    <t>Required Front Tie-Rod Length (Zero Bump Steer)</t>
  </si>
  <si>
    <t>L_tierod</t>
  </si>
  <si>
    <t>L_lower_f * 0.95</t>
  </si>
  <si>
    <t>Front Patch Offset (Race Car Design)</t>
  </si>
  <si>
    <t>Rear Wishbone</t>
  </si>
  <si>
    <t>Rear Lower Wishbone Arm Length</t>
  </si>
  <si>
    <t>L_lower_r</t>
  </si>
  <si>
    <t>Rear Hardpoint (RCVD Ch. 17)</t>
  </si>
  <si>
    <t>Rear Upper Wishbone Arm Length</t>
  </si>
  <si>
    <t>Prepare to Win Ch. 5</t>
  </si>
  <si>
    <t>SEKSI 2: REAR AXLE KINEMATICS &amp; DRIVETRAIN ALIGNMENT</t>
  </si>
  <si>
    <t>Rear Upper-to-Lower Arm Length Ratio</t>
  </si>
  <si>
    <t>Ratio_UL_r</t>
  </si>
  <si>
    <t>Rear Lower Wishbone Length</t>
  </si>
  <si>
    <t>Rear SLA Ratio (Race Car Design)</t>
  </si>
  <si>
    <t>Rear Chassis Inboard Lower Pivot Width</t>
  </si>
  <si>
    <t>W_inboard_lr</t>
  </si>
  <si>
    <t>Rear Engine Frame (Rule V.1)</t>
  </si>
  <si>
    <t>Rear Alignment</t>
  </si>
  <si>
    <t>Rear Static Camber Angle</t>
  </si>
  <si>
    <t>gamma_0r</t>
  </si>
  <si>
    <t>INDEPENDENT LOAD TRANSFER &amp; TIRE CORNERING GRIP DYNAMICS</t>
  </si>
  <si>
    <t>Rear Upper Wishbone Length (Proportional)</t>
  </si>
  <si>
    <t>L_upper_r</t>
  </si>
  <si>
    <t>L_lower_r * Ratio_UL_r</t>
  </si>
  <si>
    <t>Rear Static Toe Angle (Inboard+)</t>
  </si>
  <si>
    <t>Toe_r</t>
  </si>
  <si>
    <t>Rear Traction Setup (RCVD Ch. 11)</t>
  </si>
  <si>
    <t>Rear Wheel Rim Offset</t>
  </si>
  <si>
    <t>W_offset_r</t>
  </si>
  <si>
    <t>keizer wheels R10x2 (width velg 6")</t>
  </si>
  <si>
    <t>Rear Drivetrain</t>
  </si>
  <si>
    <t>Rear Half-Shaft Length</t>
  </si>
  <si>
    <t>L_halfshaft</t>
  </si>
  <si>
    <t>CV Shaft Length (DesignJudges Axles)</t>
  </si>
  <si>
    <t>Rear View Swing Arm Length (FVSA)</t>
  </si>
  <si>
    <t>L_FVSA_r</t>
  </si>
  <si>
    <t>L_lower_r / (1 - Ratio_UL_r)</t>
  </si>
  <si>
    <t>CV-Joint Max Angular Limit</t>
  </si>
  <si>
    <t>SEKSI 1: MASS, WEIGHT DISTRIBUTION &amp; SPRUNG CG DERIVATION</t>
  </si>
  <si>
    <t>theta_CV_max</t>
  </si>
  <si>
    <t>Total Vehicle Static Weight</t>
  </si>
  <si>
    <t>CV Joint Limit (DesignJudges Axles)</t>
  </si>
  <si>
    <t>W_total</t>
  </si>
  <si>
    <t>Steering</t>
  </si>
  <si>
    <t>Reference Corner Radius</t>
  </si>
  <si>
    <t>R_corner</t>
  </si>
  <si>
    <t>N</t>
  </si>
  <si>
    <t>m</t>
  </si>
  <si>
    <t>Hairpin Radius (FSAE Rules)</t>
  </si>
  <si>
    <t>Rear Camber Gain Rate in Roll</t>
  </si>
  <si>
    <t>m_total * g</t>
  </si>
  <si>
    <t>Front Elastic</t>
  </si>
  <si>
    <t>dgamma_r/dphi</t>
  </si>
  <si>
    <t>Front Spring Stiffness Rate</t>
  </si>
  <si>
    <t>K_sf</t>
  </si>
  <si>
    <t>(h_s - z_RR) / L_FVSA_r</t>
  </si>
  <si>
    <t>N/mm</t>
  </si>
  <si>
    <t>Spring Selection (Tune to Win Ch. 4)</t>
  </si>
  <si>
    <t>Front Motion Ratio (Wheel / Spring)</t>
  </si>
  <si>
    <t>IR_f</t>
  </si>
  <si>
    <t>Half-Shaft CV-Joint Angle Delta</t>
  </si>
  <si>
    <t>Delta_theta_CV</t>
  </si>
  <si>
    <t>ATAN((T_r_prop - T_r_base)/(2 * L_halfshaft)) * 180 / PI()</t>
  </si>
  <si>
    <t>RCVD Ch. 18.2</t>
  </si>
  <si>
    <t>Front Axle Static Weight</t>
  </si>
  <si>
    <t>W_f</t>
  </si>
  <si>
    <t>Pushrod Ratio (RCVD Ch. 16)</t>
  </si>
  <si>
    <t>W_total * WD_f</t>
  </si>
  <si>
    <t>Front Anti-Roll Bar Stiffness</t>
  </si>
  <si>
    <t>K_arbf</t>
  </si>
  <si>
    <t>Nm/deg</t>
  </si>
  <si>
    <t>Set 0 for No ARB</t>
  </si>
  <si>
    <t>Rear Elastic</t>
  </si>
  <si>
    <t>Rear Spring Stiffness Rate</t>
  </si>
  <si>
    <t>K_sr</t>
  </si>
  <si>
    <t>Rear Motion Ratio (Wheel / Spring)</t>
  </si>
  <si>
    <t>IR_r</t>
  </si>
  <si>
    <t>Rear Anti-Roll Bar Stiffness</t>
  </si>
  <si>
    <t>K_arbr</t>
  </si>
  <si>
    <t>Front Tire TTC</t>
  </si>
  <si>
    <t>Front Tire Unloaded Radius</t>
  </si>
  <si>
    <t>r_f</t>
  </si>
  <si>
    <t>DesignJudges Axles Guide</t>
  </si>
  <si>
    <t>Hoosier 18x6.0-10 (FSAE TTC)</t>
  </si>
  <si>
    <t>SEKSI 3: STEERING GEOMETRY &amp; ACKERMANN</t>
  </si>
  <si>
    <t>PENDEKATAN</t>
  </si>
  <si>
    <t>Front Tire Vertical Stiffness</t>
  </si>
  <si>
    <t>K_tf</t>
  </si>
  <si>
    <t>Inner Wheel Steering Angle (Ackermann)</t>
  </si>
  <si>
    <t>Front Peak Dynamic Friction Coeff</t>
  </si>
  <si>
    <t>delta_i</t>
  </si>
  <si>
    <t>mu_0f</t>
  </si>
  <si>
    <t>ATAN(L / (R_corner*1000 - T_f/2)) * 180 / PI()</t>
  </si>
  <si>
    <t>Rear Axle Static Weight</t>
  </si>
  <si>
    <t>W_r</t>
  </si>
  <si>
    <t>Front Tire Load Sensitivity Coeff</t>
  </si>
  <si>
    <t>W_total * (1 - WD_f)</t>
  </si>
  <si>
    <t>dmu_dFz_f</t>
  </si>
  <si>
    <t>1/N</t>
  </si>
  <si>
    <t>Front Reference Nominal Load</t>
  </si>
  <si>
    <t>F_z0f</t>
  </si>
  <si>
    <t>TTC Test Load (FSAE TTC)</t>
  </si>
  <si>
    <t>Rear Tire TTC</t>
  </si>
  <si>
    <t>Rear Tire Unloaded Radius</t>
  </si>
  <si>
    <t>r_r</t>
  </si>
  <si>
    <t>Rear Tire Vertical Stiffness</t>
  </si>
  <si>
    <t>K_tr</t>
  </si>
  <si>
    <t>Trackwidth Ratio (Tr / Tf)</t>
  </si>
  <si>
    <t>Ratio_T</t>
  </si>
  <si>
    <t>T_r / T_f</t>
  </si>
  <si>
    <t>Rear Peak Dynamic Friction Coeff</t>
  </si>
  <si>
    <t>mu_0r</t>
  </si>
  <si>
    <t>Rear Tire Load Sensitivity Coeff</t>
  </si>
  <si>
    <t>dmu_dFz_r</t>
  </si>
  <si>
    <t>RCVD Ch. 19.2</t>
  </si>
  <si>
    <t>Outer Wheel Steering Angle (Ackermann)</t>
  </si>
  <si>
    <t>delta_o</t>
  </si>
  <si>
    <t>Rear Reference Nominal Load</t>
  </si>
  <si>
    <t>ATAN(L / (R_corner*1000 + T_f/2)) * 180 / PI()</t>
  </si>
  <si>
    <t>F_z0r</t>
  </si>
  <si>
    <t>Wishbone Structure</t>
  </si>
  <si>
    <t>Tube Outer Diameter (OD)</t>
  </si>
  <si>
    <t>OD</t>
  </si>
  <si>
    <t>AISI 4130 3/4" (Engineer to Win)</t>
  </si>
  <si>
    <t>Tube Wall Thickness</t>
  </si>
  <si>
    <t>FSAE Rule V.1.3.2</t>
  </si>
  <si>
    <t>Front Static Normal Load per Wheel</t>
  </si>
  <si>
    <t>W_f_wheel</t>
  </si>
  <si>
    <t>W_f / 2</t>
  </si>
  <si>
    <t>t_wall</t>
  </si>
  <si>
    <t>AISI 4130 0.065" (Engineer to Win)</t>
  </si>
  <si>
    <t>Material Elastic Modulus (AISI 1020)</t>
  </si>
  <si>
    <t>E_modulus</t>
  </si>
  <si>
    <t>MPa</t>
  </si>
  <si>
    <t>AISI 4130 Steel (Engineer to Win)</t>
  </si>
  <si>
    <t>Material Yield Strength (AIAI 1020)</t>
  </si>
  <si>
    <t>Sigma_y</t>
  </si>
  <si>
    <t>Rear Static Normal Load per Wheel</t>
  </si>
  <si>
    <t>W_r_wheel</t>
  </si>
  <si>
    <t>Upright Structure</t>
  </si>
  <si>
    <t>W_r / 2</t>
  </si>
  <si>
    <t>Upright Stub Axle Overhang</t>
  </si>
  <si>
    <t>L_stub</t>
  </si>
  <si>
    <t>Upright Geometry (Race Car Design)</t>
  </si>
  <si>
    <t>Simulation Target</t>
  </si>
  <si>
    <t>Target Lateral Acceleration</t>
  </si>
  <si>
    <t>A_y</t>
  </si>
  <si>
    <t>Skidpad Simulation Target (RCVD)</t>
  </si>
  <si>
    <t>Total Sprung Mass</t>
  </si>
  <si>
    <t>m_s</t>
  </si>
  <si>
    <t>m_total - m_uf - m_ur</t>
  </si>
  <si>
    <t>Sprung Mass CG Height (EXPLICIT DERIVATION)</t>
  </si>
  <si>
    <t>h_s</t>
  </si>
  <si>
    <t>Total Vehicle CG Height</t>
  </si>
  <si>
    <t>((m_total*h) - (m_uf*h_uf) - (m_ur*h_ur)) / m_s</t>
  </si>
  <si>
    <t>Ackermann Steering Angle Delta</t>
  </si>
  <si>
    <t>Delta_delta</t>
  </si>
  <si>
    <t>delta_i - delta_o</t>
  </si>
  <si>
    <t>SEKSI 4: STEERING FORCES &amp; WEIGHT JACKING</t>
  </si>
  <si>
    <t>Caster Weight Jacking Vertical Delta</t>
  </si>
  <si>
    <t>Delta_W_jacking</t>
  </si>
  <si>
    <t>K_Rf * r_f * SIN(caster) * SIN(delta_i)</t>
  </si>
  <si>
    <t>Sprung Mass CG Height (EXPLICIT)</t>
  </si>
  <si>
    <t>RCVD Ch. 18.2 (Milliken Eq. 18.12)</t>
  </si>
  <si>
    <t>SEKSI 2: SUSPENSION &amp; ROLL STIFFNESS RATES</t>
  </si>
  <si>
    <t>Front Wheel Stiffness Rate</t>
  </si>
  <si>
    <t>K_Wf</t>
  </si>
  <si>
    <t>K_sf * IR_f^2</t>
  </si>
  <si>
    <t>RCVD Ch. 19.4</t>
  </si>
  <si>
    <t>Steering Kickback Torque on Scrub Radius</t>
  </si>
  <si>
    <t>M_kickback</t>
  </si>
  <si>
    <t>Nm</t>
  </si>
  <si>
    <t>Sum_F_yf * (R_scrub_f / 1000)</t>
  </si>
  <si>
    <t>RCVD Ch. 16.2</t>
  </si>
  <si>
    <t>Rear Wheel Stiffness Rate</t>
  </si>
  <si>
    <t>K_Wr</t>
  </si>
  <si>
    <t>K_sr * IR_r^2</t>
  </si>
  <si>
    <t>Front Tire Vertical Stiffness Rate</t>
  </si>
  <si>
    <t>FSAE TTC Data</t>
  </si>
  <si>
    <t>Rear Tire Vertical Stiffness Rate</t>
  </si>
  <si>
    <t>Front Wheel Ride Rate (Spring + Tire)</t>
  </si>
  <si>
    <t>K_Rf</t>
  </si>
  <si>
    <t>(K_Wf * K_tf) / (K_Wf + K_tf)</t>
  </si>
  <si>
    <t>Rear Wheel Ride Rate (Spring + Tire)</t>
  </si>
  <si>
    <t>K_Rr</t>
  </si>
  <si>
    <t>(K_Wr * K_tr) / (K_Wr + K_tr)</t>
  </si>
  <si>
    <t>Front Axle Roll Stiffness</t>
  </si>
  <si>
    <t>K_phi_f</t>
  </si>
  <si>
    <t>(T_f^2 * K_Rf)/114600 + K_arbf</t>
  </si>
  <si>
    <t>RCVD Ch. 16.4</t>
  </si>
  <si>
    <t>Rear Axle Roll Stiffness</t>
  </si>
  <si>
    <t>K_phi_r</t>
  </si>
  <si>
    <t>(T_r^2 * K_Rr)/114600 + K_arbr</t>
  </si>
  <si>
    <t>Total Suspension Roll Stiffness</t>
  </si>
  <si>
    <t>K_phi_total</t>
  </si>
  <si>
    <t>K_phi_f + K_phi_r</t>
  </si>
  <si>
    <t>SEKSI 3: BODY ROLL DYNAMICS &amp; ROLL MOMENT</t>
  </si>
  <si>
    <t>Roll Axis Height at CG Position</t>
  </si>
  <si>
    <t>z_RA</t>
  </si>
  <si>
    <t>z_RF + (z_RR - z_RF) * (1 - WD_f)</t>
  </si>
  <si>
    <t>RCVD Ch. 16.3</t>
  </si>
  <si>
    <t>Sprung Mass Roll Moment Arm (EXPLICIT h_s - z_RA)</t>
  </si>
  <si>
    <t>h_a</t>
  </si>
  <si>
    <t>h_s - z_RA</t>
  </si>
  <si>
    <t>Required Front Tie-Rod Length</t>
  </si>
  <si>
    <t>RCVD Ch. 18.2 (Milliken Eq. 18.14)</t>
  </si>
  <si>
    <t>Total Vehicle Roll Moment</t>
  </si>
  <si>
    <t>M_R</t>
  </si>
  <si>
    <t>m_s * g * A_y * (h_a / 1000)</t>
  </si>
  <si>
    <t>Vehicle Body Roll Gradient</t>
  </si>
  <si>
    <t>phi_per_Ay</t>
  </si>
  <si>
    <t>deg/g</t>
  </si>
  <si>
    <t>M_R / K_phi_total / A_y</t>
  </si>
  <si>
    <t>Front Roll Stiffness</t>
  </si>
  <si>
    <t>Total Body Roll Angle at Target A_y</t>
  </si>
  <si>
    <t>phi_roll</t>
  </si>
  <si>
    <t>phi_per_Ay * A_y</t>
  </si>
  <si>
    <t>WISHBONE EULER BUCKLING, TENSILE YIELD &amp; UPRIGHT BENDING STRESS</t>
  </si>
  <si>
    <t>Total Roll Stiffness</t>
  </si>
  <si>
    <t>SEKSI 4: INDEPENDENT LOAD TRANSFER CALCULATIONS</t>
  </si>
  <si>
    <t>SEKSI 1: CHASSIS TORSIONAL STIFFNESS TARGET</t>
  </si>
  <si>
    <t>Front Unsprung Load Transfer</t>
  </si>
  <si>
    <t>Delta_W_uf</t>
  </si>
  <si>
    <t>A_y * m_uf * g * (h_uf / T_f)</t>
  </si>
  <si>
    <t>Total Vehicle Roll Angle at 1.70g</t>
  </si>
  <si>
    <t>Input from 04_LOAD_TRANSFER_ROLL_GRIP</t>
  </si>
  <si>
    <t>Front Axle Load Transfer</t>
  </si>
  <si>
    <t>Delta_W_F_total</t>
  </si>
  <si>
    <t>Minimum Required Chassis Torsional Stiffness</t>
  </si>
  <si>
    <t>K_chassis</t>
  </si>
  <si>
    <t>1.2 * K_phi_total</t>
  </si>
  <si>
    <t>Race Car Design Ch. 8</t>
  </si>
  <si>
    <t>Chassis to Suspension Stiffness Ratio</t>
  </si>
  <si>
    <t>Rear Axle Load Transfer</t>
  </si>
  <si>
    <t>Ratio_K</t>
  </si>
  <si>
    <t>Delta_W_R_total</t>
  </si>
  <si>
    <t>K_chassis / K_phi_total</t>
  </si>
  <si>
    <t>SEKSI 2: FRONT LOWER WISHBONE EULER BUCKLING ANALYSIS</t>
  </si>
  <si>
    <t>Total Vehicle Load Transfer</t>
  </si>
  <si>
    <t>Tube Inner Diameter (ID)</t>
  </si>
  <si>
    <t>Delta_W_total</t>
  </si>
  <si>
    <t>ID</t>
  </si>
  <si>
    <t>OD - 2 * t_wall</t>
  </si>
  <si>
    <t>Front Inner Wheel Normal Load</t>
  </si>
  <si>
    <t>F_z_fi</t>
  </si>
  <si>
    <t>Mechanics of Materials</t>
  </si>
  <si>
    <t>Tube Cross-Sectional Area</t>
  </si>
  <si>
    <t>A_tube</t>
  </si>
  <si>
    <t>mm^2</t>
  </si>
  <si>
    <t>PI() / 4 * (OD^2 - ID^2)</t>
  </si>
  <si>
    <t>Front Axle Cornering Grip</t>
  </si>
  <si>
    <t>Sum_F_yf</t>
  </si>
  <si>
    <t>Tube Area Moment of Inertia</t>
  </si>
  <si>
    <t>I_tube</t>
  </si>
  <si>
    <t>mm^4</t>
  </si>
  <si>
    <t>PI() / 64 * (OD^4 - ID^4)</t>
  </si>
  <si>
    <t>Total Vehicle Cornering Grip</t>
  </si>
  <si>
    <t>Peak Axial Compression Load on Front Lower Wishbone</t>
  </si>
  <si>
    <t>Sum_F_y</t>
  </si>
  <si>
    <t>P_comp_lower_f</t>
  </si>
  <si>
    <t>(Sum_F_yf / 2) * 1.5</t>
  </si>
  <si>
    <t>RCVD Ch. 18.2 (Milliken Eq. 18.16)</t>
  </si>
  <si>
    <t>Front Geometric Link Load Transfer</t>
  </si>
  <si>
    <t>Delta_W_sff</t>
  </si>
  <si>
    <t>A_y * m_s * g * WD_f * (z_RF / T_f)</t>
  </si>
  <si>
    <t>Engineer to Win Ch. 5</t>
  </si>
  <si>
    <t>Critical Euler Buckling Load (Front Lower Arm)</t>
  </si>
  <si>
    <t>P_crit_lower_f</t>
  </si>
  <si>
    <t>(PI()^2 * E_modulus * I_tube) / L_lower_f^2</t>
  </si>
  <si>
    <t>Handling Balance Margin vs Weight Dist</t>
  </si>
  <si>
    <t>Handling_Margin</t>
  </si>
  <si>
    <t>Front Lower Wishbone Buckling Safety Factor</t>
  </si>
  <si>
    <t>SF_lower_f</t>
  </si>
  <si>
    <t>P_crit_lower_f / P_comp_lower_f</t>
  </si>
  <si>
    <t>RCVD Ch. 18.2 (Milliken Eq. 18.17)</t>
  </si>
  <si>
    <t>Front Elastic Roll Load Transfer</t>
  </si>
  <si>
    <t>Delta_W_scf</t>
  </si>
  <si>
    <t>(K_phi_f / K_phi_total) * M_R / (T_f / 1000)</t>
  </si>
  <si>
    <t>FSAE Rule Standard (SF &gt;= 1.5)</t>
  </si>
  <si>
    <t>SEKSI 3: REAR LOWER WISHBONE EULER BUCKLING ANALYSIS</t>
  </si>
  <si>
    <t>Peak Axial Compression Load on Rear Lower Wishbone</t>
  </si>
  <si>
    <t>P_comp_lower_r</t>
  </si>
  <si>
    <t>(Sum_F_yr / 2) * 1.5</t>
  </si>
  <si>
    <t>RCVD Ch. 18.2 (Milliken Eq. 18.18)</t>
  </si>
  <si>
    <t>Critical Euler Buckling Load (Rear Lower Arm)</t>
  </si>
  <si>
    <t>P_crit_lower_r</t>
  </si>
  <si>
    <t>TOTAL FRONT AXLE LOAD TRANSFER</t>
  </si>
  <si>
    <t>(PI()^2 * E_modulus * I_tube) / L_lower_r^2</t>
  </si>
  <si>
    <t>Delta_W_uf + Delta_W_sff + Delta_W_scf</t>
  </si>
  <si>
    <t>Front Fraction Load Transfer</t>
  </si>
  <si>
    <t>FLT_f</t>
  </si>
  <si>
    <t>Delta_W_F_total / W_f</t>
  </si>
  <si>
    <t>Rear Lower Wishbone Buckling Safety Factor</t>
  </si>
  <si>
    <t>SF_lower_r</t>
  </si>
  <si>
    <t>P_crit_lower_r / P_comp_lower_r</t>
  </si>
  <si>
    <t>SEKSI 4: UPPER WISHBONE TENSILE YIELD ANALYSIS</t>
  </si>
  <si>
    <t>RCVD Ch. 18.3</t>
  </si>
  <si>
    <t>Rear Unsprung Load Transfer</t>
  </si>
  <si>
    <t>Delta_W_ur</t>
  </si>
  <si>
    <t>A_y * m_ur * g * (h_ur / T_r)</t>
  </si>
  <si>
    <t>Peak Axial Tension Load on Upper Wishbone</t>
  </si>
  <si>
    <t>P_tensile_upper</t>
  </si>
  <si>
    <t>P_comp_lower_f * 0.45</t>
  </si>
  <si>
    <t>Tensile Stress on Upper Wishbone Tube</t>
  </si>
  <si>
    <t>Sigma_upper</t>
  </si>
  <si>
    <t>P_tensile_upper / A_tube</t>
  </si>
  <si>
    <t>Upper Wishbone Tensile Yield Safety Factor</t>
  </si>
  <si>
    <t>SF_upper</t>
  </si>
  <si>
    <t>Sigma_y / Sigma_upper</t>
  </si>
  <si>
    <t>FSAE Rule Standard (SF &gt;= 2.0)</t>
  </si>
  <si>
    <t>SEKSI 5: UPRIGHT &amp; STUB AXLE BENDING MOMENT</t>
  </si>
  <si>
    <t>Bending Moment on Upright Stub Axle</t>
  </si>
  <si>
    <t>M_stub</t>
  </si>
  <si>
    <t>Rear Geometric Link Load Transfer</t>
  </si>
  <si>
    <t>(F_y_fo * L_stub + F_z_fo * R_scrub_f) / 1000</t>
  </si>
  <si>
    <t>Delta_W_sfr</t>
  </si>
  <si>
    <t>A_y * m_s * g * (1 - WD_f) * (z_RR / T_r)</t>
  </si>
  <si>
    <t>Upright &amp; Stub Axle Bending Safety Factor</t>
  </si>
  <si>
    <t>SF_upright</t>
  </si>
  <si>
    <t>Rear Elastic Roll Load Transfer</t>
  </si>
  <si>
    <t>Delta_W_scr</t>
  </si>
  <si>
    <t>Section Modulus of Stub Axle (25mm Solid)</t>
  </si>
  <si>
    <t>(K_phi_r / K_phi_total) * M_R / (T_r / 1000)</t>
  </si>
  <si>
    <t>Z_stub</t>
  </si>
  <si>
    <t>mm^3</t>
  </si>
  <si>
    <t>(PI() * 25^3) / 32</t>
  </si>
  <si>
    <t>Minimum Chassis Torsional Stiffness Target</t>
  </si>
  <si>
    <t>Stub Axle Bending Stress</t>
  </si>
  <si>
    <t>Sigma_stub</t>
  </si>
  <si>
    <t>(M_stub * 1000) / Z_stub</t>
  </si>
  <si>
    <t>TOTAL REAR AXLE LOAD TRANSFER</t>
  </si>
  <si>
    <t>Delta_W_ur + Delta_W_sfr + Delta_W_scr</t>
  </si>
  <si>
    <t>Sigma_y / Sigma_stub</t>
  </si>
  <si>
    <t>Rear Fraction Load Transfer</t>
  </si>
  <si>
    <t>FLT_r</t>
  </si>
  <si>
    <t>Delta_W_R_total / W_r</t>
  </si>
  <si>
    <t>TOTAL VEHICLE LOAD TRANSFER</t>
  </si>
  <si>
    <t>Delta_W_F_total + Delta_W_R_total</t>
  </si>
  <si>
    <t>SEKSI 5: DYNAMIC NORMAL LOADS &amp; TIRE CORNERING GRIP</t>
  </si>
  <si>
    <t>Front Outer Wheel Normal Load</t>
  </si>
  <si>
    <t>F_z_fo</t>
  </si>
  <si>
    <t>W_f_wheel + Delta_W_F_total</t>
  </si>
  <si>
    <t>W_f_wheel - Delta_W_F_total</t>
  </si>
  <si>
    <t>Rear Outer Wheel Normal Load</t>
  </si>
  <si>
    <t>F_z_ro</t>
  </si>
  <si>
    <t>W_r_wheel + Delta_W_R_total</t>
  </si>
  <si>
    <t>Rear Inner Wheel Normal Load</t>
  </si>
  <si>
    <t>F_z_ri</t>
  </si>
  <si>
    <t>W_r_wheel - Delta_W_R_total</t>
  </si>
  <si>
    <t>Dynamic Friction Coeff Front Outer</t>
  </si>
  <si>
    <t>mu_fo</t>
  </si>
  <si>
    <t>mu_0f + dmu_dFz_f * (F_z_fo - F_z0f)</t>
  </si>
  <si>
    <t>RCVD Ch. 13 / TTC Model</t>
  </si>
  <si>
    <t>Dynamic Friction Coeff Front Inner</t>
  </si>
  <si>
    <t>mu_fi</t>
  </si>
  <si>
    <t>mu_0f + dmu_dFz_f * (F_z_fi - F_z0f)</t>
  </si>
  <si>
    <t>Dynamic Friction Coeff Rear Outer</t>
  </si>
  <si>
    <t>mu_ro</t>
  </si>
  <si>
    <t>mu_0r + dmu_dFz_r * (F_z_ro - F_z0r)</t>
  </si>
  <si>
    <t>Dynamic Friction Coeff Rear Inner</t>
  </si>
  <si>
    <t>mu_ri</t>
  </si>
  <si>
    <t>mu_0r + dmu_dFz_r * (F_z_ri - F_z0r)</t>
  </si>
  <si>
    <t>Front Outer Tire Grip Force</t>
  </si>
  <si>
    <t>F_y_fo</t>
  </si>
  <si>
    <t>F_z_fo * mu_fo</t>
  </si>
  <si>
    <t>RCVD Ch. 13</t>
  </si>
  <si>
    <t>Front Inner Tire Grip Force</t>
  </si>
  <si>
    <t>F_y_fi</t>
  </si>
  <si>
    <t>F_z_fi * mu_fi</t>
  </si>
  <si>
    <t>Front Axle Total Cornering Grip</t>
  </si>
  <si>
    <t>F_y_fo + F_y_fi</t>
  </si>
  <si>
    <t>Rear Outer Tire Grip Force</t>
  </si>
  <si>
    <t>F_y_ro</t>
  </si>
  <si>
    <t>F_z_ro * mu_ro</t>
  </si>
  <si>
    <t>Rear Inner Tire Grip Force</t>
  </si>
  <si>
    <t>F_y_ri</t>
  </si>
  <si>
    <t>F_z_ri * mu_ri</t>
  </si>
  <si>
    <t>Rear Axle Total Cornering Grip</t>
  </si>
  <si>
    <t>Sum_F_yr</t>
  </si>
  <si>
    <t>F_y_ro + F_y_ri</t>
  </si>
  <si>
    <t>Sum_F_yf + Sum_F_yr</t>
  </si>
  <si>
    <t>SEKSI 6: HANDLING BALANCE INDICATOR (TLLTD)</t>
  </si>
  <si>
    <t>Total Load Transfer Dist. (Front)</t>
  </si>
  <si>
    <t>TLLTD_front</t>
  </si>
  <si>
    <t>Delta_W_F_total / Delta_W_total</t>
  </si>
  <si>
    <t>Total Load Transfer Dist. (Rear)</t>
  </si>
  <si>
    <t>TLLTD_rear</t>
  </si>
  <si>
    <t>Delta_W_R_total / Delta_W_total</t>
  </si>
  <si>
    <t>Handling Balance Margin vs Weight Dist.</t>
  </si>
  <si>
    <t>TLLTD_front - WD_f</t>
  </si>
  <si>
    <t>Variable</t>
  </si>
  <si>
    <t>front_track_min_mm</t>
  </si>
  <si>
    <t>front_track_max_mm</t>
  </si>
  <si>
    <t>track_step_mm</t>
  </si>
  <si>
    <t>rear_track_delta_mode</t>
  </si>
  <si>
    <t>tire_section_width_mm</t>
  </si>
  <si>
    <t>cone_safety_margin_m</t>
  </si>
  <si>
    <t>max_speed_kph</t>
  </si>
  <si>
    <t>max_accel_mps2</t>
  </si>
  <si>
    <t>max_brake_mps2</t>
  </si>
  <si>
    <t>cornering_safety_factor</t>
  </si>
  <si>
    <t>curvature_smoothing_points</t>
  </si>
  <si>
    <t>yaw_inertia_mass_factor</t>
  </si>
  <si>
    <t>minimum_buckling_sf</t>
  </si>
  <si>
    <t>structural_load_factor</t>
  </si>
  <si>
    <t>speed_profile_iterations</t>
  </si>
  <si>
    <t>track_declared_length_m</t>
  </si>
  <si>
    <t>track_width_m</t>
  </si>
  <si>
    <t>Value</t>
  </si>
  <si>
    <t>preserve_difference</t>
  </si>
  <si>
    <t>text</t>
  </si>
  <si>
    <t>m/side</t>
  </si>
  <si>
    <t>km/h</t>
  </si>
  <si>
    <t>points</t>
  </si>
  <si>
    <t>passes</t>
  </si>
  <si>
    <t>Description</t>
  </si>
  <si>
    <t>Minimum front track width sweep</t>
  </si>
  <si>
    <t>Maximum front track width sweep</t>
  </si>
  <si>
    <t>Track width sweep increment</t>
  </si>
  <si>
    <t>preserve_difference, identical_absolute, or fixed</t>
  </si>
  <si>
    <t>Overall tyre section width used for vehicle envelope</t>
  </si>
  <si>
    <t>Minimum tyre-to-cone safety margin</t>
  </si>
  <si>
    <t>Vehicle top speed limit</t>
  </si>
  <si>
    <t>Maximum longitudinal acceleration</t>
  </si>
  <si>
    <t>Maximum braking deceleration magnitude</t>
  </si>
  <si>
    <t>Fraction of calculated lateral grip used</t>
  </si>
  <si>
    <t>Curvature estimation window</t>
  </si>
  <si>
    <t>Mass fraction used in yaw inertia estimate</t>
  </si>
  <si>
    <t>Minimum acceptable wishbone buckling safety factor</t>
  </si>
  <si>
    <t>Multiplier from tyre force to arm compression</t>
  </si>
  <si>
    <t>Closed-loop forward and backward speed passes</t>
  </si>
  <si>
    <t>Official JSAE endurance course length</t>
  </si>
  <si>
    <t>Nominal cone corridor width</t>
  </si>
  <si>
    <t>skidpad_inner_diameter_m</t>
  </si>
  <si>
    <t>skidpad_lane_width_m</t>
  </si>
  <si>
    <t>skidpad_center_distance_m</t>
  </si>
  <si>
    <t>skidpad_timed_laps_per_direction</t>
  </si>
  <si>
    <t>skidpad_max_steer_deg</t>
  </si>
  <si>
    <t>laps/direction</t>
  </si>
  <si>
    <t>Inner circle diameter from skidpad diagram</t>
  </si>
  <si>
    <t>Width between inner and outer cone circles</t>
  </si>
  <si>
    <t>Distance between left and right circle centers</t>
  </si>
  <si>
    <t>Number of steady-state timed laps in each direction</t>
  </si>
  <si>
    <t>Maximum allowed magnitude of front wheel steer 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</si>
</sst>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8">
    <numFmt numFmtId="164" formatCode="#,##0.0#"/>
    <numFmt numFmtId="165" formatCode="#,##0.0"/>
    <numFmt numFmtId="166" formatCode="0.0%"/>
    <numFmt numFmtId="167" formatCode="0.000"/>
    <numFmt numFmtId="168" formatCode="0.0000"/>
    <numFmt numFmtId="169" formatCode="+#,##0.0;-#,##0.0;0.0"/>
    <numFmt numFmtId="170" formatCode="+0.000;-0.000;0.000"/>
    <numFmt numFmtId="171" formatCode="+0.0%;-0.0%;0.0%"/>
  </numFmts>
  <fonts count="11">
    <font>
      <sz val="10"/>
      <color rgb="FF000000"/>
      <name val="Arial"/>
      <scheme val="minor"/>
    </font>
    <font>
      <b/>
      <sz val="14"/>
      <color rgb="FFFFFFFF"/>
      <name val="Calibri"/>
    </font>
    <font/>
    <font>
      <i/>
      <sz val="10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i/>
      <color theme="1"/>
      <name val="Arial"/>
      <scheme val="minor"/>
    </font>
    <font>
      <color theme="1"/>
      <name val="Arial"/>
      <scheme val="minor"/>
    </font>
    <font>
      <i/>
      <sz val="9"/>
      <color rgb="FF1F1F1F"/>
      <name val="&quot;Google Sans&quot;"/>
    </font>
    <font>
      <b/>
      <sz val="11"/>
      <color rgb="FF0061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00FFFF"/>
        <bgColor rgb="FF00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/>
  </borders>
  <cellStyleXfs count="1">
    <xf numFmtId="0" fontId="0" fillId="0" borderId="0" applyFont="true" applyAlignment="true"/>
  </cellStyleXfs>
  <cellXfs count="70">
    <xf numFmtId="0" fontId="0" fillId="0" borderId="0" xfId="0" applyFont="true" applyAlignment="true">
      <alignment vertical="bottom" wrapText="false" shrinkToFit="false" readingOrder="0"/>
    </xf>
    <xf numFmtId="0" fontId="1" fillId="2" borderId="1" xfId="0" applyFont="true" applyFill="true" applyBorder="true" applyAlignment="true">
      <alignment horizontal="center" vertical="center"/>
    </xf>
    <xf numFmtId="0" fontId="2" fillId="0" borderId="2" xfId="0" applyFont="true" applyBorder="true"/>
    <xf numFmtId="0" fontId="2" fillId="0" borderId="3" xfId="0" applyFont="true" applyBorder="true"/>
    <xf numFmtId="0" fontId="3" fillId="0" borderId="0" xfId="0" applyFont="true" applyAlignment="true">
      <alignment horizontal="center" vertical="center"/>
    </xf>
    <xf numFmtId="0" fontId="4" fillId="3" borderId="4" xfId="0" applyFont="true" applyFill="true" applyBorder="true" applyAlignment="true">
      <alignment horizontal="center" vertical="center"/>
    </xf>
    <xf numFmtId="0" fontId="5" fillId="0" borderId="4" xfId="0" applyFont="true" applyBorder="true" applyAlignment="true">
      <alignment horizontal="left" vertical="center"/>
    </xf>
    <xf numFmtId="0" fontId="4" fillId="3" borderId="1" xfId="0" applyFont="true" applyFill="true" applyBorder="true"/>
    <xf numFmtId="0" fontId="6" fillId="0" borderId="4" xfId="0" applyFont="true" applyBorder="true"/>
    <xf numFmtId="0" fontId="3" fillId="0" borderId="4" xfId="0" applyFont="true" applyBorder="true" applyAlignment="true">
      <alignment horizontal="center" vertical="center"/>
    </xf>
    <xf numFmtId="0" fontId="5" fillId="0" borderId="4" xfId="0" applyFont="true" applyBorder="true" applyAlignment="true">
      <alignment horizontal="center" vertical="center"/>
    </xf>
    <xf numFmtId="164" fontId="5" fillId="4" borderId="4" xfId="0" applyNumberFormat="true" applyFont="true" applyFill="true" applyBorder="true"/>
    <xf numFmtId="0" fontId="3" fillId="0" borderId="4" xfId="0" applyFont="true" applyBorder="true" applyAlignment="true">
      <alignment horizontal="left" vertical="center"/>
    </xf>
    <xf numFmtId="164" fontId="5" fillId="4" borderId="4" xfId="0" applyNumberFormat="true" applyFont="true" applyFill="true" applyBorder="true" applyAlignment="true">
      <alignment readingOrder="0"/>
    </xf>
    <xf numFmtId="165" fontId="5" fillId="5" borderId="4" xfId="0" applyNumberFormat="true" applyFont="true" applyFill="true" applyBorder="true"/>
    <xf numFmtId="166" fontId="5" fillId="4" borderId="4" xfId="0" applyNumberFormat="true" applyFont="true" applyFill="true" applyBorder="true" applyAlignment="true">
      <alignment readingOrder="0"/>
    </xf>
    <xf numFmtId="165" fontId="5" fillId="6" borderId="4" xfId="0" applyNumberFormat="true" applyFont="true" applyFill="true" applyBorder="true"/>
    <xf numFmtId="0" fontId="6" fillId="7" borderId="4" xfId="0" applyFont="true" applyFill="true" applyBorder="true"/>
    <xf numFmtId="0" fontId="6" fillId="8" borderId="4" xfId="0" applyFont="true" applyFill="true" applyBorder="true"/>
    <xf numFmtId="167" fontId="5" fillId="5" borderId="4" xfId="0" applyNumberFormat="true" applyFont="true" applyFill="true" applyBorder="true"/>
    <xf numFmtId="0" fontId="6" fillId="8" borderId="5" xfId="0" applyFont="true" applyFill="true" applyBorder="true"/>
    <xf numFmtId="167" fontId="5" fillId="6" borderId="4" xfId="0" applyNumberFormat="true" applyFont="true" applyFill="true" applyBorder="true"/>
    <xf numFmtId="0" fontId="3" fillId="0" borderId="5" xfId="0" applyFont="true" applyBorder="true" applyAlignment="true">
      <alignment horizontal="center" vertical="center"/>
    </xf>
    <xf numFmtId="0" fontId="5" fillId="0" borderId="5" xfId="0" applyFont="true" applyBorder="true" applyAlignment="true">
      <alignment horizontal="center" vertical="center"/>
    </xf>
    <xf numFmtId="164" fontId="5" fillId="4" borderId="5" xfId="0" applyNumberFormat="true" applyFont="true" applyFill="true" applyBorder="true"/>
    <xf numFmtId="0" fontId="3" fillId="0" borderId="5" xfId="0" applyFont="true" applyBorder="true" applyAlignment="true">
      <alignment horizontal="left" vertical="center"/>
    </xf>
    <xf numFmtId="0" fontId="5" fillId="0" borderId="6" xfId="0" applyFont="true" applyBorder="true" applyAlignment="true">
      <alignment horizontal="left" vertical="center"/>
    </xf>
    <xf numFmtId="0" fontId="6" fillId="0" borderId="7" xfId="0" applyFont="true" applyBorder="true"/>
    <xf numFmtId="0" fontId="3" fillId="0" borderId="7" xfId="0" applyFont="true" applyBorder="true" applyAlignment="true">
      <alignment horizontal="center" vertical="center"/>
    </xf>
    <xf numFmtId="0" fontId="5" fillId="0" borderId="7" xfId="0" applyFont="true" applyBorder="true" applyAlignment="true">
      <alignment horizontal="center" vertical="center"/>
    </xf>
    <xf numFmtId="164" fontId="5" fillId="4" borderId="7" xfId="0" applyNumberFormat="true" applyFont="true" applyFill="true" applyBorder="true" applyAlignment="true">
      <alignment readingOrder="0"/>
    </xf>
    <xf numFmtId="0" fontId="3" fillId="0" borderId="7" xfId="0" applyFont="true" applyBorder="true" applyAlignment="true">
      <alignment horizontal="left" vertical="center"/>
    </xf>
    <xf numFmtId="164" fontId="5" fillId="4" borderId="7" xfId="0" applyNumberFormat="true" applyFont="true" applyFill="true" applyBorder="true"/>
    <xf numFmtId="0" fontId="6" fillId="0" borderId="7" xfId="0" applyFont="true" applyBorder="true" applyAlignment="true">
      <alignment readingOrder="0"/>
    </xf>
    <xf numFmtId="0" fontId="7" fillId="0" borderId="7" xfId="0" applyFont="true" applyBorder="true" applyAlignment="true">
      <alignment horizontal="center" readingOrder="0"/>
    </xf>
    <xf numFmtId="0" fontId="8" fillId="0" borderId="7" xfId="0" applyFont="true" applyBorder="true" applyAlignment="true">
      <alignment horizontal="center" readingOrder="0"/>
    </xf>
    <xf numFmtId="0" fontId="8" fillId="4" borderId="7" xfId="0" applyFont="true" applyFill="true" applyBorder="true" applyAlignment="true">
      <alignment horizontal="right" readingOrder="0"/>
    </xf>
    <xf numFmtId="0" fontId="8" fillId="4" borderId="7" xfId="0" applyFont="true" applyFill="true" applyBorder="true" applyAlignment="true">
      <alignment horizontal="right"/>
    </xf>
    <xf numFmtId="0" fontId="8" fillId="0" borderId="7" xfId="0" applyFont="true" applyBorder="true"/>
    <xf numFmtId="168" fontId="5" fillId="4" borderId="7" xfId="0" applyNumberFormat="true" applyFont="true" applyFill="true" applyBorder="true"/>
    <xf numFmtId="0" fontId="5" fillId="4" borderId="7" xfId="0" applyFont="true" applyFill="true" applyBorder="true" applyAlignment="true">
      <alignment readingOrder="0"/>
    </xf>
    <xf numFmtId="168" fontId="5" fillId="4" borderId="7" xfId="0" applyNumberFormat="true" applyFont="true" applyFill="true" applyBorder="true" applyAlignment="true">
      <alignment readingOrder="0"/>
    </xf>
    <xf numFmtId="0" fontId="6" fillId="9" borderId="7" xfId="0" applyFont="true" applyFill="true" applyBorder="true"/>
    <xf numFmtId="0" fontId="9" fillId="0" borderId="7" xfId="0" applyFont="true" applyBorder="true" applyAlignment="true">
      <alignment readingOrder="0"/>
    </xf>
    <xf numFmtId="0" fontId="8" fillId="4" borderId="7" xfId="0" applyFont="true" applyFill="true" applyBorder="true" applyAlignment="true">
      <alignment readingOrder="0"/>
    </xf>
    <xf numFmtId="0" fontId="8" fillId="4" borderId="7" xfId="0" applyFont="true" applyFill="true" applyBorder="true"/>
    <xf numFmtId="0" fontId="6" fillId="8" borderId="7" xfId="0" applyFont="true" applyFill="true" applyBorder="true"/>
    <xf numFmtId="0" fontId="6" fillId="8" borderId="8" xfId="0" applyFont="true" applyFill="true" applyBorder="true"/>
    <xf numFmtId="0" fontId="3" fillId="0" borderId="8" xfId="0" applyFont="true" applyBorder="true" applyAlignment="true">
      <alignment horizontal="center" vertical="center"/>
    </xf>
    <xf numFmtId="0" fontId="5" fillId="0" borderId="8" xfId="0" applyFont="true" applyBorder="true" applyAlignment="true">
      <alignment horizontal="center" vertical="center"/>
    </xf>
    <xf numFmtId="168" fontId="5" fillId="4" borderId="8" xfId="0" applyNumberFormat="true" applyFont="true" applyFill="true" applyBorder="true"/>
    <xf numFmtId="0" fontId="3" fillId="0" borderId="8" xfId="0" applyFont="true" applyBorder="true" applyAlignment="true">
      <alignment horizontal="left" vertical="center"/>
    </xf>
    <xf numFmtId="168" fontId="5" fillId="4" borderId="4" xfId="0" applyNumberFormat="true" applyFont="true" applyFill="true" applyBorder="true" applyAlignment="true">
      <alignment readingOrder="0"/>
    </xf>
    <xf numFmtId="0" fontId="8" fillId="0" borderId="0" xfId="0" applyFont="true" applyAlignment="true">
      <alignment horizontal="center" vertical="center" textRotation="180" readingOrder="0"/>
    </xf>
    <xf numFmtId="168" fontId="5" fillId="4" borderId="4" xfId="0" applyNumberFormat="true" applyFont="true" applyFill="true" applyBorder="true"/>
    <xf numFmtId="169" fontId="5" fillId="5" borderId="4" xfId="0" applyNumberFormat="true" applyFont="true" applyFill="true" applyBorder="true"/>
    <xf numFmtId="0" fontId="5" fillId="4" borderId="4" xfId="0" applyFont="true" applyFill="true" applyBorder="true"/>
    <xf numFmtId="0" fontId="10" fillId="10" borderId="4" xfId="0" applyFont="true" applyFill="true" applyBorder="true" applyAlignment="true">
      <alignment horizontal="center" vertical="center"/>
    </xf>
    <xf numFmtId="0" fontId="6" fillId="11" borderId="4" xfId="0" applyFont="true" applyFill="true" applyBorder="true"/>
    <xf numFmtId="0" fontId="6" fillId="0" borderId="4" xfId="0" applyFont="true" applyBorder="true" applyAlignment="true">
      <alignment readingOrder="0"/>
    </xf>
    <xf numFmtId="0" fontId="6" fillId="9" borderId="4" xfId="0" applyFont="true" applyFill="true" applyBorder="true"/>
    <xf numFmtId="170" fontId="5" fillId="5" borderId="4" xfId="0" applyNumberFormat="true" applyFont="true" applyFill="true" applyBorder="true"/>
    <xf numFmtId="2" fontId="5" fillId="5" borderId="4" xfId="0" applyNumberFormat="true" applyFont="true" applyFill="true" applyBorder="true"/>
    <xf numFmtId="2" fontId="5" fillId="6" borderId="4" xfId="0" applyNumberFormat="true" applyFont="true" applyFill="true" applyBorder="true"/>
    <xf numFmtId="166" fontId="5" fillId="5" borderId="4" xfId="0" applyNumberFormat="true" applyFont="true" applyFill="true" applyBorder="true"/>
    <xf numFmtId="166" fontId="5" fillId="6" borderId="4" xfId="0" applyNumberFormat="true" applyFont="true" applyFill="true" applyBorder="true"/>
    <xf numFmtId="171" fontId="5" fillId="5" borderId="4" xfId="0" applyNumberFormat="true" applyFont="true" applyFill="true" applyBorder="true"/>
    <xf numFmtId="10" fontId="5" fillId="5" borderId="4" xfId="0" applyNumberFormat="true" applyFont="true" applyFill="true" applyBorder="true"/>
    <xf numFmtId="10" fontId="5" fillId="6" borderId="4" xfId="0" applyNumberFormat="true" applyFont="true" applyFill="true" applyBorder="true"/>
    <xf numFmtId="22" fontId="0" fillId="0" borderId="9" xfId="0" applyNumberFormat="true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Relationship Target="persons/person.xml" Type="http://schemas.microsoft.com/office/2017/10/relationships/person" Id="rId4"/><Relationship Target="worksheets/sheet5.xml" Type="http://schemas.openxmlformats.org/officeDocument/2006/relationships/worksheet" Id="rId9"/><Relationship Target="worksheets/sheet1.xml" Type="http://schemas.openxmlformats.org/officeDocument/2006/relationships/worksheet" Id="rId5"/><Relationship Target="worksheets/sheet2.xml" Type="http://schemas.openxmlformats.org/officeDocument/2006/relationships/worksheet" Id="rId6"/><Relationship Target="worksheets/sheet3.xml" Type="http://schemas.openxmlformats.org/officeDocument/2006/relationships/worksheet" Id="rId7"/><Relationship Target="worksheets/sheet4.xml" Type="http://schemas.openxmlformats.org/officeDocument/2006/relationships/worksheet" Id="rId8"/><Relationship Target="worksheets/sheet6.xml" Type="http://schemas.openxmlformats.org/officeDocument/2006/relationships/worksheet" Id="rId10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r="http://schemas.openxmlformats.org/officeDocument/2006/relationships"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2.xml.rels><?xml version="1.0" encoding="UTF-8"?><Relationships xmlns="http://schemas.openxmlformats.org/package/2006/relationships"><Relationship Target="../drawings/drawing2.xml" Type="http://schemas.openxmlformats.org/officeDocument/2006/relationships/drawing" Id="rId1"/></Relationships>
</file>

<file path=xl/worksheets/_rels/sheet3.xml.rels><?xml version="1.0" encoding="UTF-8"?><Relationships xmlns="http://schemas.openxmlformats.org/package/2006/relationships"><Relationship Target="../drawings/drawing3.xml" Type="http://schemas.openxmlformats.org/officeDocument/2006/relationships/drawing" Id="rId1"/></Relationships>
</file>

<file path=xl/worksheets/_rels/sheet4.xml.rels><?xml version="1.0" encoding="UTF-8"?><Relationships xmlns="http://schemas.openxmlformats.org/package/2006/relationships"><Relationship Target="../drawings/drawing4.xml" Type="http://schemas.openxmlformats.org/officeDocument/2006/relationships/drawing" Id="rId1"/></Relationships>
</file>

<file path=xl/worksheets/_rels/sheet5.xml.rels><?xml version="1.0" encoding="UTF-8"?><Relationships xmlns="http://schemas.openxmlformats.org/package/2006/relationships"><Relationship Target="../drawings/drawing5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G1000"/>
  <sheetViews>
    <sheetView showGridLines="false" workbookViewId="0"/>
  </sheetViews>
  <sheetFormatPr defaultColWidth="12.63" defaultRowHeight="15.75" customHeight="true"/>
  <cols>
    <col min="1" max="1" width="102.38" customWidth="true"/>
    <col min="2" max="2" width="17.5" customWidth="true"/>
    <col min="3" max="3" width="12.25" customWidth="true"/>
    <col min="4" max="5" width="24.5" customWidth="true"/>
    <col min="6" max="6" width="16.63" customWidth="true"/>
    <col min="7" max="7" width="35.88" customWidth="true"/>
    <col min="8" max="26" width="7.63" customWidth="true"/>
  </cols>
  <sheetData>
    <row r="1">
      <c r="A1" s="1" t="s">
        <v>2</v>
      </c>
      <c r="B1" s="2"/>
      <c r="C1" s="2"/>
      <c r="D1" s="2"/>
      <c r="E1" s="2"/>
      <c r="F1" s="2"/>
      <c r="G1" s="3"/>
    </row>
    <row r="2">
      <c r="A2" s="4" t="s">
        <v>5</v>
      </c>
    </row>
    <row r="4">
      <c r="A4" s="5" t="s">
        <v>8</v>
      </c>
      <c r="B4" s="5" t="s">
        <v>7</v>
      </c>
      <c r="C4" s="5" t="s">
        <v>10</v>
      </c>
      <c r="D4" s="5" t="s">
        <v>12</v>
      </c>
      <c r="E4" s="5" t="s">
        <v>13</v>
      </c>
      <c r="F4" s="5" t="s">
        <v>16</v>
      </c>
      <c r="G4" s="5" t="s">
        <v>19</v>
      </c>
    </row>
    <row r="5">
      <c r="A5" s="8" t="s">
        <v>20</v>
      </c>
      <c r="B5" s="9" t="s">
        <v>23</v>
      </c>
      <c r="C5" s="10" t="s">
        <v>26</v>
      </c>
      <c r="D5" s="14">
        <f>'02_INPUT_VARIABLES'!E9</f>
        <v>1200</v>
      </c>
      <c r="E5" s="16">
        <f>'02_INPUT_VARIABLES'!F9</f>
        <v>1280</v>
      </c>
      <c r="F5" s="55">
        <f t="shared" ref="F5:F36" si="1">E5-D5</f>
        <v>80</v>
      </c>
      <c r="G5" s="57" t="str">
        <f>IF(E5&gt;=1200, "PASS: Track Extended (+80mm)", "WARN")</f>
        <v>PASS: Track Extended (+80mm)</v>
      </c>
    </row>
    <row r="6">
      <c r="A6" s="8" t="s">
        <v>51</v>
      </c>
      <c r="B6" s="9" t="s">
        <v>52</v>
      </c>
      <c r="C6" s="10" t="s">
        <v>26</v>
      </c>
      <c r="D6" s="14">
        <f>'02_INPUT_VARIABLES'!E10</f>
        <v>1140</v>
      </c>
      <c r="E6" s="16">
        <f>'02_INPUT_VARIABLES'!F10</f>
        <v>1140</v>
      </c>
      <c r="F6" s="55">
        <f t="shared" si="1"/>
        <v>0</v>
      </c>
      <c r="G6" s="57" t="str">
        <f>IF(E6&gt;0, "PASS: Constant Rear Track", "WARN")</f>
        <v>PASS: Constant Rear Track</v>
      </c>
    </row>
    <row r="7">
      <c r="A7" s="8" t="s">
        <v>220</v>
      </c>
      <c r="B7" s="9" t="s">
        <v>221</v>
      </c>
      <c r="C7" s="10" t="s">
        <v>87</v>
      </c>
      <c r="D7" s="19">
        <f>'04_LOAD_TRANSFER_ROLL_GRIP'!E8</f>
        <v>0.95</v>
      </c>
      <c r="E7" s="21">
        <f>'04_LOAD_TRANSFER_ROLL_GRIP'!F8</f>
        <v>0.890625</v>
      </c>
      <c r="F7" s="61">
        <f t="shared" si="1"/>
        <v>-0.059375</v>
      </c>
      <c r="G7" s="57" t="str">
        <f>IF(E7&gt;=0.75, "PASS: FSAE Rule V.1.3.2 (&gt;=0.75)", "FAIL: Violates Rule V.1.3.2")</f>
        <v>PASS: FSAE Rule V.1.3.2 (&gt;=0.75)</v>
      </c>
    </row>
    <row r="8">
      <c r="A8" s="8" t="s">
        <v>266</v>
      </c>
      <c r="B8" s="9" t="s">
        <v>59</v>
      </c>
      <c r="C8" s="10" t="s">
        <v>26</v>
      </c>
      <c r="D8" s="14">
        <f>'02_INPUT_VARIABLES'!E12</f>
        <v>300</v>
      </c>
      <c r="E8" s="16">
        <f>'02_INPUT_VARIABLES'!F12</f>
        <v>300</v>
      </c>
      <c r="F8" s="55">
        <f t="shared" si="1"/>
        <v>0</v>
      </c>
      <c r="G8" s="57" t="str">
        <f>IF(E8&gt;0, "PASS: Measured via Tilt Test", "CHECK")</f>
        <v>PASS: Measured via Tilt Test</v>
      </c>
    </row>
    <row r="9">
      <c r="A9" s="8" t="s">
        <v>275</v>
      </c>
      <c r="B9" s="9" t="s">
        <v>265</v>
      </c>
      <c r="C9" s="10" t="s">
        <v>26</v>
      </c>
      <c r="D9" s="14">
        <f>'04_LOAD_TRANSFER_ROLL_GRIP'!E12</f>
        <v>322.467609</v>
      </c>
      <c r="E9" s="16">
        <f>'04_LOAD_TRANSFER_ROLL_GRIP'!F12</f>
        <v>322.467609</v>
      </c>
      <c r="F9" s="55">
        <f t="shared" si="1"/>
        <v>0</v>
      </c>
      <c r="G9" s="57" t="str">
        <f>IF(E9&gt;E8, "PASS: h_s &gt; h (Physics Preserved)", "WARN")</f>
        <v>PASS: h_s &gt; h (Physics Preserved)</v>
      </c>
    </row>
    <row r="10">
      <c r="A10" s="8" t="s">
        <v>22</v>
      </c>
      <c r="B10" s="9" t="s">
        <v>25</v>
      </c>
      <c r="C10" s="10" t="s">
        <v>26</v>
      </c>
      <c r="D10" s="14">
        <f>'02_INPUT_VARIABLES'!E17</f>
        <v>293.55</v>
      </c>
      <c r="E10" s="16">
        <f>'02_INPUT_VARIABLES'!F17</f>
        <v>380</v>
      </c>
      <c r="F10" s="55">
        <f t="shared" si="1"/>
        <v>86.45</v>
      </c>
      <c r="G10" s="57" t="str">
        <f>IF(E10&gt;D10, "PASS: Arm Extended (+40mm/side)", "CHECK")</f>
        <v>PASS: Arm Extended (+40mm/side)</v>
      </c>
    </row>
    <row r="11">
      <c r="A11" s="8" t="s">
        <v>47</v>
      </c>
      <c r="B11" s="9" t="s">
        <v>48</v>
      </c>
      <c r="C11" s="10" t="s">
        <v>26</v>
      </c>
      <c r="D11" s="14">
        <f>'03_KINEMATIC_CASCADE_CALC'!E6</f>
        <v>260.43</v>
      </c>
      <c r="E11" s="16">
        <f>'03_KINEMATIC_CASCADE_CALC'!F6</f>
        <v>0</v>
      </c>
      <c r="F11" s="55">
        <f t="shared" si="1"/>
        <v>-260.43</v>
      </c>
      <c r="G11" s="57" t="str">
        <f>IF(E11&gt;D11, "PASS: Matched Upper Arm Length", "WARN")</f>
        <v>WARN</v>
      </c>
    </row>
    <row r="12">
      <c r="A12" s="8" t="s">
        <v>125</v>
      </c>
      <c r="B12" s="9" t="s">
        <v>118</v>
      </c>
      <c r="C12" s="10" t="s">
        <v>26</v>
      </c>
      <c r="D12" s="14">
        <f>'02_INPUT_VARIABLES'!E27</f>
        <v>230.67</v>
      </c>
      <c r="E12" s="16">
        <f>'02_INPUT_VARIABLES'!F27</f>
        <v>350</v>
      </c>
      <c r="F12" s="55">
        <f t="shared" si="1"/>
        <v>119.33</v>
      </c>
      <c r="G12" s="57" t="str">
        <f>IF(E12&gt;0, "PASS: Independent Rear Arm Length", "CHECK")</f>
        <v>PASS: Independent Rear Arm Length</v>
      </c>
    </row>
    <row r="13">
      <c r="A13" s="8" t="s">
        <v>134</v>
      </c>
      <c r="B13" s="9" t="s">
        <v>135</v>
      </c>
      <c r="C13" s="10" t="s">
        <v>26</v>
      </c>
      <c r="D13" s="14">
        <f>'03_KINEMATIC_CASCADE_CALC'!E14</f>
        <v>202.69</v>
      </c>
      <c r="E13" s="16">
        <f>'03_KINEMATIC_CASCADE_CALC'!F14</f>
        <v>0</v>
      </c>
      <c r="F13" s="55">
        <f t="shared" si="1"/>
        <v>-202.69</v>
      </c>
      <c r="G13" s="57" t="str">
        <f>IF(E13&gt;0, "PASS: Matched Rear Upper Arm", "CHECK")</f>
        <v>CHECK</v>
      </c>
    </row>
    <row r="14">
      <c r="A14" s="8" t="s">
        <v>63</v>
      </c>
      <c r="B14" s="9" t="s">
        <v>64</v>
      </c>
      <c r="C14" s="10" t="s">
        <v>65</v>
      </c>
      <c r="D14" s="19">
        <f>'03_KINEMATIC_CASCADE_CALC'!E7</f>
        <v>10.4</v>
      </c>
      <c r="E14" s="21">
        <f>'03_KINEMATIC_CASCADE_CALC'!F7</f>
        <v>10.4</v>
      </c>
      <c r="F14" s="61">
        <f t="shared" si="1"/>
        <v>0</v>
      </c>
      <c r="G14" s="57" t="str">
        <f>IF(ABS(E14-D14)&lt;0.01, "PASS: KPI Preserved (Constant)", "WARN")</f>
        <v>PASS: KPI Preserved (Constant)</v>
      </c>
    </row>
    <row r="15">
      <c r="A15" s="8" t="s">
        <v>71</v>
      </c>
      <c r="B15" s="9" t="s">
        <v>72</v>
      </c>
      <c r="C15" s="10" t="s">
        <v>26</v>
      </c>
      <c r="D15" s="14">
        <f>'03_KINEMATIC_CASCADE_CALC'!E8</f>
        <v>53.34</v>
      </c>
      <c r="E15" s="16">
        <f>'03_KINEMATIC_CASCADE_CALC'!F8</f>
        <v>53.34</v>
      </c>
      <c r="F15" s="55">
        <f t="shared" si="1"/>
        <v>0</v>
      </c>
      <c r="G15" s="57" t="str">
        <f>IF(ABS(E15-D15)&lt;0.01, "PASS: Scrub Radius Preserved (18mm)", "WARN")</f>
        <v>PASS: Scrub Radius Preserved (18mm)</v>
      </c>
    </row>
    <row r="16">
      <c r="A16" s="8" t="s">
        <v>88</v>
      </c>
      <c r="B16" s="9" t="s">
        <v>89</v>
      </c>
      <c r="C16" s="10" t="s">
        <v>26</v>
      </c>
      <c r="D16" s="14">
        <f>'03_KINEMATIC_CASCADE_CALC'!E9</f>
        <v>2601.799592</v>
      </c>
      <c r="E16" s="16">
        <f>'03_KINEMATIC_CASCADE_CALC'!F9</f>
        <v>380</v>
      </c>
      <c r="F16" s="55">
        <f t="shared" si="1"/>
        <v>-2221.799592</v>
      </c>
      <c r="G16" s="57" t="str">
        <f>IF(E16&gt;D16, "PASS: Longer FVSA (Flatter Arc)", "CHECK")</f>
        <v>CHECK</v>
      </c>
    </row>
    <row r="17">
      <c r="A17" s="8" t="s">
        <v>100</v>
      </c>
      <c r="B17" s="9" t="s">
        <v>101</v>
      </c>
      <c r="C17" s="10" t="s">
        <v>102</v>
      </c>
      <c r="D17" s="19">
        <f>'03_KINEMATIC_CASCADE_CALC'!E10</f>
        <v>0.1200967245</v>
      </c>
      <c r="E17" s="21">
        <f>'03_KINEMATIC_CASCADE_CALC'!F10</f>
        <v>0.8222831815</v>
      </c>
      <c r="F17" s="61">
        <f t="shared" si="1"/>
        <v>0.7021864569</v>
      </c>
      <c r="G17" s="57" t="str">
        <f>IF(E17&lt;D17, "PASS: Smoother Camber Gain Rate", "CHECK")</f>
        <v>CHECK</v>
      </c>
    </row>
    <row r="18">
      <c r="A18" s="8" t="s">
        <v>317</v>
      </c>
      <c r="B18" s="9" t="s">
        <v>113</v>
      </c>
      <c r="C18" s="10" t="s">
        <v>26</v>
      </c>
      <c r="D18" s="14">
        <f>'03_KINEMATIC_CASCADE_CALC'!E11</f>
        <v>278.8725</v>
      </c>
      <c r="E18" s="16">
        <f>'03_KINEMATIC_CASCADE_CALC'!F11</f>
        <v>361</v>
      </c>
      <c r="F18" s="55">
        <f t="shared" si="1"/>
        <v>82.1275</v>
      </c>
      <c r="G18" s="57" t="str">
        <f>IF(E18&gt;D18, "PASS: Extended (Zero Bump Steer)", "WARN")</f>
        <v>PASS: Extended (Zero Bump Steer)</v>
      </c>
    </row>
    <row r="19">
      <c r="A19" s="8" t="s">
        <v>173</v>
      </c>
      <c r="B19" s="9" t="s">
        <v>174</v>
      </c>
      <c r="C19" s="10" t="s">
        <v>65</v>
      </c>
      <c r="D19" s="19">
        <f>'03_KINEMATIC_CASCADE_CALC'!E17</f>
        <v>0</v>
      </c>
      <c r="E19" s="21">
        <f>'03_KINEMATIC_CASCADE_CALC'!F17</f>
        <v>0</v>
      </c>
      <c r="F19" s="61">
        <f t="shared" si="1"/>
        <v>0</v>
      </c>
      <c r="G19" s="57" t="str">
        <f>IF(E19&lt;='02_INPUT_VARIABLES'!F35, "PASS: CV Angle Safe (&lt; 15 deg)", "FAIL: Binding Risk")</f>
        <v>PASS: CV Angle Safe (&lt; 15 deg)</v>
      </c>
    </row>
    <row r="20">
      <c r="A20" s="8" t="s">
        <v>326</v>
      </c>
      <c r="B20" s="9" t="s">
        <v>300</v>
      </c>
      <c r="C20" s="10" t="s">
        <v>183</v>
      </c>
      <c r="D20" s="14">
        <f>'04_LOAD_TRANSFER_ROLL_GRIP'!E20</f>
        <v>393.0551586</v>
      </c>
      <c r="E20" s="16">
        <f>'04_LOAD_TRANSFER_ROLL_GRIP'!F20</f>
        <v>441.7477052</v>
      </c>
      <c r="F20" s="55">
        <f t="shared" si="1"/>
        <v>48.69254661</v>
      </c>
      <c r="G20" s="57" t="str">
        <f>IF(E20&gt;D20, "PASS: Front Roll Stiffness Increased", "CHECK")</f>
        <v>PASS: Front Roll Stiffness Increased</v>
      </c>
    </row>
    <row r="21">
      <c r="A21" s="8" t="s">
        <v>331</v>
      </c>
      <c r="B21" s="9" t="s">
        <v>307</v>
      </c>
      <c r="C21" s="10" t="s">
        <v>183</v>
      </c>
      <c r="D21" s="14">
        <f>'04_LOAD_TRANSFER_ROLL_GRIP'!E22</f>
        <v>602.6203358</v>
      </c>
      <c r="E21" s="16">
        <f>'04_LOAD_TRANSFER_ROLL_GRIP'!F22</f>
        <v>648.4195297</v>
      </c>
      <c r="F21" s="55">
        <f t="shared" si="1"/>
        <v>45.79919391</v>
      </c>
      <c r="G21" s="57" t="str">
        <f>IF(E21&gt;D21, "PASS: Total Roll Stiffness Increased", "CHECK")</f>
        <v>PASS: Total Roll Stiffness Increased</v>
      </c>
    </row>
    <row r="22">
      <c r="A22" s="8" t="s">
        <v>337</v>
      </c>
      <c r="B22" s="9" t="s">
        <v>328</v>
      </c>
      <c r="C22" s="10" t="s">
        <v>65</v>
      </c>
      <c r="D22" s="19">
        <f>'04_LOAD_TRANSFER_ROLL_GRIP'!E28</f>
        <v>1.409568523</v>
      </c>
      <c r="E22" s="21">
        <f>'04_LOAD_TRANSFER_ROLL_GRIP'!F28</f>
        <v>1.304548868</v>
      </c>
      <c r="F22" s="61">
        <f t="shared" si="1"/>
        <v>-0.1050196551</v>
      </c>
      <c r="G22" s="57" t="str">
        <f>IF(E22&lt;D22, "PASS: Body Roll Angle Reduced", "CHECK")</f>
        <v>PASS: Body Roll Angle Reduced</v>
      </c>
    </row>
    <row r="23">
      <c r="A23" s="8" t="s">
        <v>339</v>
      </c>
      <c r="B23" s="9" t="s">
        <v>340</v>
      </c>
      <c r="C23" s="10" t="s">
        <v>159</v>
      </c>
      <c r="D23" s="14">
        <f>'04_LOAD_TRANSFER_ROLL_GRIP'!E33</f>
        <v>551.4902302</v>
      </c>
      <c r="E23" s="16">
        <f>'04_LOAD_TRANSFER_ROLL_GRIP'!F33</f>
        <v>533.2935064</v>
      </c>
      <c r="F23" s="55">
        <f t="shared" si="1"/>
        <v>-18.19672371</v>
      </c>
      <c r="G23" s="57" t="str">
        <f>IF(E23&lt;D23, "PASS: Front Load Transfer Reduced", "CHECK")</f>
        <v>PASS: Front Load Transfer Reduced</v>
      </c>
    </row>
    <row r="24">
      <c r="A24" s="8" t="s">
        <v>346</v>
      </c>
      <c r="B24" s="9" t="s">
        <v>348</v>
      </c>
      <c r="C24" s="10" t="s">
        <v>159</v>
      </c>
      <c r="D24" s="14">
        <f>'04_LOAD_TRANSFER_ROLL_GRIP'!E38</f>
        <v>403.8658367</v>
      </c>
      <c r="E24" s="16">
        <f>'04_LOAD_TRANSFER_ROLL_GRIP'!F38</f>
        <v>385.596177</v>
      </c>
      <c r="F24" s="55">
        <f t="shared" si="1"/>
        <v>-18.2696597</v>
      </c>
      <c r="G24" s="57" t="str">
        <f>IF(E24&lt;=D24, "PASS: Rear Load Transfer Stable", "CHECK")</f>
        <v>PASS: Rear Load Transfer Stable</v>
      </c>
    </row>
    <row r="25">
      <c r="A25" s="8" t="s">
        <v>351</v>
      </c>
      <c r="B25" s="9" t="s">
        <v>353</v>
      </c>
      <c r="C25" s="10" t="s">
        <v>159</v>
      </c>
      <c r="D25" s="14">
        <f>'04_LOAD_TRANSFER_ROLL_GRIP'!E40</f>
        <v>955.3560668</v>
      </c>
      <c r="E25" s="16">
        <f>'04_LOAD_TRANSFER_ROLL_GRIP'!F40</f>
        <v>918.8896834</v>
      </c>
      <c r="F25" s="55">
        <f t="shared" si="1"/>
        <v>-36.46638342</v>
      </c>
      <c r="G25" s="57" t="str">
        <f>IF(E25&lt;D25, "PASS: Total Load Transfer Reduced", "CHECK")</f>
        <v>PASS: Total Load Transfer Reduced</v>
      </c>
    </row>
    <row r="26">
      <c r="A26" s="8" t="s">
        <v>356</v>
      </c>
      <c r="B26" s="9" t="s">
        <v>357</v>
      </c>
      <c r="C26" s="10" t="s">
        <v>159</v>
      </c>
      <c r="D26" s="14">
        <f>'04_LOAD_TRANSFER_ROLL_GRIP'!E43</f>
        <v>-1.394480164</v>
      </c>
      <c r="E26" s="16">
        <f>'04_LOAD_TRANSFER_ROLL_GRIP'!F43</f>
        <v>-38.20733145</v>
      </c>
      <c r="F26" s="55">
        <f t="shared" si="1"/>
        <v>-36.81285129</v>
      </c>
      <c r="G26" s="57" t="str">
        <f>IF(E26&gt;0, "PASS: Positive Load (No Wheel Lift)", "FAIL: Lift")</f>
        <v>FAIL: Lift</v>
      </c>
    </row>
    <row r="27">
      <c r="A27" s="8" t="s">
        <v>363</v>
      </c>
      <c r="B27" s="9" t="s">
        <v>364</v>
      </c>
      <c r="C27" s="10" t="s">
        <v>159</v>
      </c>
      <c r="D27" s="14">
        <f>'04_LOAD_TRANSFER_ROLL_GRIP'!E52</f>
        <v>1549.956828</v>
      </c>
      <c r="E27" s="16">
        <f>'04_LOAD_TRANSFER_ROLL_GRIP'!F52</f>
        <v>1563.620094</v>
      </c>
      <c r="F27" s="55">
        <f t="shared" si="1"/>
        <v>13.66326569</v>
      </c>
      <c r="G27" s="57" t="str">
        <f>IF(E27&gt;D27, "PASS: Front Axle Grip Increased", "CHECK")</f>
        <v>PASS: Front Axle Grip Increased</v>
      </c>
    </row>
    <row r="28">
      <c r="A28" s="8" t="s">
        <v>369</v>
      </c>
      <c r="B28" s="9" t="s">
        <v>371</v>
      </c>
      <c r="C28" s="10" t="s">
        <v>159</v>
      </c>
      <c r="D28" s="14">
        <f>'04_LOAD_TRANSFER_ROLL_GRIP'!E56</f>
        <v>3121.788102</v>
      </c>
      <c r="E28" s="16">
        <f>'04_LOAD_TRANSFER_ROLL_GRIP'!F56</f>
        <v>3554.11821</v>
      </c>
      <c r="F28" s="55">
        <f t="shared" si="1"/>
        <v>432.3301073</v>
      </c>
      <c r="G28" s="57" t="str">
        <f>IF(E28&gt;D28, "PASS: Total Vehicle Grip Increased", "CHECK")</f>
        <v>PASS: Total Vehicle Grip Increased</v>
      </c>
    </row>
    <row r="29">
      <c r="A29" s="8" t="s">
        <v>382</v>
      </c>
      <c r="B29" s="9" t="s">
        <v>383</v>
      </c>
      <c r="C29" s="10" t="s">
        <v>37</v>
      </c>
      <c r="D29" s="64">
        <f>'04_LOAD_TRANSFER_ROLL_GRIP'!E60</f>
        <v>0.07726145184</v>
      </c>
      <c r="E29" s="65">
        <f>'04_LOAD_TRANSFER_ROLL_GRIP'!F60</f>
        <v>0.1303672803</v>
      </c>
      <c r="F29" s="66">
        <f t="shared" si="1"/>
        <v>0.05310582845</v>
      </c>
      <c r="G29" s="57" t="str">
        <f>IF(ABS(E29)&lt;0.05, "PASS: Balanced Understeer Margin", "CHECK")</f>
        <v>CHECK</v>
      </c>
    </row>
    <row r="30">
      <c r="A30" s="8" t="s">
        <v>268</v>
      </c>
      <c r="B30" s="9" t="s">
        <v>269</v>
      </c>
      <c r="C30" s="10" t="s">
        <v>65</v>
      </c>
      <c r="D30" s="19">
        <f>'03_KINEMATIC_CASCADE_CALC'!E21</f>
        <v>2.814847903</v>
      </c>
      <c r="E30" s="21">
        <f>'03_KINEMATIC_CASCADE_CALC'!F21</f>
        <v>3.006080812</v>
      </c>
      <c r="F30" s="61">
        <f t="shared" si="1"/>
        <v>0.1912329092</v>
      </c>
      <c r="G30" s="57" t="str">
        <f>IF(E30&gt;0, "PASS: Agility Delta Increased", "CHECK")</f>
        <v>PASS: Agility Delta Increased</v>
      </c>
    </row>
    <row r="31">
      <c r="A31" s="8" t="s">
        <v>282</v>
      </c>
      <c r="B31" s="9" t="s">
        <v>283</v>
      </c>
      <c r="C31" s="10" t="s">
        <v>284</v>
      </c>
      <c r="D31" s="14">
        <f>'03_KINEMATIC_CASCADE_CALC'!E24</f>
        <v>82.67469723</v>
      </c>
      <c r="E31" s="16">
        <f>'03_KINEMATIC_CASCADE_CALC'!F24</f>
        <v>83.40349582</v>
      </c>
      <c r="F31" s="55">
        <f t="shared" si="1"/>
        <v>0.7287985918</v>
      </c>
      <c r="G31" s="57" t="str">
        <f>IF(E31&lt;=D31*1.1, "PASS: Kickback Force Controlled", "WARN")</f>
        <v>PASS: Kickback Force Controlled</v>
      </c>
    </row>
    <row r="32">
      <c r="A32" s="8" t="s">
        <v>384</v>
      </c>
      <c r="B32" s="9" t="s">
        <v>385</v>
      </c>
      <c r="C32" s="10" t="s">
        <v>87</v>
      </c>
      <c r="D32" s="19">
        <f>'05_STRUCTURAL_STRESS_BUCKLING'!E14</f>
        <v>163.2804181</v>
      </c>
      <c r="E32" s="21">
        <f>'05_STRUCTURAL_STRESS_BUCKLING'!F14</f>
        <v>96.5871694</v>
      </c>
      <c r="F32" s="61">
        <f t="shared" si="1"/>
        <v>-66.69324868</v>
      </c>
      <c r="G32" s="57" t="str">
        <f>IF(E32&gt;=1.5, "PASS: Euler Buckling Safe (SF &gt;= 1.5)", "FAIL")</f>
        <v>PASS: Euler Buckling Safe (SF &gt;= 1.5)</v>
      </c>
    </row>
    <row r="33">
      <c r="A33" s="8" t="s">
        <v>405</v>
      </c>
      <c r="B33" s="9" t="s">
        <v>406</v>
      </c>
      <c r="C33" s="10" t="s">
        <v>87</v>
      </c>
      <c r="D33" s="19">
        <f>'05_STRUCTURAL_STRESS_BUCKLING'!E18</f>
        <v>260.7532429</v>
      </c>
      <c r="E33" s="21">
        <f>'05_STRUCTURAL_STRESS_BUCKLING'!F18</f>
        <v>89.43757504</v>
      </c>
      <c r="F33" s="61">
        <f t="shared" si="1"/>
        <v>-171.3156678</v>
      </c>
      <c r="G33" s="57" t="str">
        <f>IF(E33&gt;=1.5, "PASS: Rear Arm Buckling Safe", "FAIL")</f>
        <v>PASS: Rear Arm Buckling Safe</v>
      </c>
    </row>
    <row r="34">
      <c r="A34" s="8" t="s">
        <v>419</v>
      </c>
      <c r="B34" s="9" t="s">
        <v>420</v>
      </c>
      <c r="C34" s="10" t="s">
        <v>87</v>
      </c>
      <c r="D34" s="19">
        <f>'05_STRUCTURAL_STRESS_BUCKLING'!E22</f>
        <v>77.66368475</v>
      </c>
      <c r="E34" s="21">
        <f>'05_STRUCTURAL_STRESS_BUCKLING'!F22</f>
        <v>76.98504193</v>
      </c>
      <c r="F34" s="61">
        <f t="shared" si="1"/>
        <v>-0.6786428258</v>
      </c>
      <c r="G34" s="57" t="str">
        <f>IF(E34&gt;=2, "PASS: Upper Arm Tensile Yield Safe", "FAIL")</f>
        <v>PASS: Upper Arm Tensile Yield Safe</v>
      </c>
    </row>
    <row r="35">
      <c r="A35" s="8" t="s">
        <v>430</v>
      </c>
      <c r="B35" s="9" t="s">
        <v>431</v>
      </c>
      <c r="C35" s="10" t="s">
        <v>87</v>
      </c>
      <c r="D35" s="19">
        <f>'05_STRUCTURAL_STRESS_BUCKLING'!E27</f>
        <v>4.776196071</v>
      </c>
      <c r="E35" s="21">
        <f>'05_STRUCTURAL_STRESS_BUCKLING'!F27</f>
        <v>4.837635254</v>
      </c>
      <c r="F35" s="61">
        <f t="shared" si="1"/>
        <v>0.06143918276</v>
      </c>
      <c r="G35" s="57" t="str">
        <f>IF(E35&gt;=2, "PASS: Upright Bending Moment Safe", "FAIL")</f>
        <v>PASS: Upright Bending Moment Safe</v>
      </c>
    </row>
    <row r="36">
      <c r="A36" s="8" t="s">
        <v>439</v>
      </c>
      <c r="B36" s="9" t="s">
        <v>342</v>
      </c>
      <c r="C36" s="10" t="s">
        <v>183</v>
      </c>
      <c r="D36" s="14">
        <f>'05_STRUCTURAL_STRESS_BUCKLING'!E6</f>
        <v>723.144403</v>
      </c>
      <c r="E36" s="16">
        <f>'05_STRUCTURAL_STRESS_BUCKLING'!F6</f>
        <v>778.1034357</v>
      </c>
      <c r="F36" s="55">
        <f t="shared" si="1"/>
        <v>54.9590327</v>
      </c>
      <c r="G36" s="57" t="str">
        <f>IF(E36&gt;0, "PASS: Target Defined for Frame Team", "CHECK")</f>
        <v>PASS: Target Defined for Frame Team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G1"/>
    <mergeCell ref="A2:G2"/>
  </mergeCells>
  <printOptions/>
  <pageMargins left="0.75" right="0.75" top="1" bottom="1" header="0.0" footer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H1000"/>
  <sheetViews>
    <sheetView showGridLines="false" workbookViewId="0"/>
  </sheetViews>
  <sheetFormatPr defaultColWidth="12.63" defaultRowHeight="15.75" customHeight="true"/>
  <cols>
    <col min="1" max="1" width="81.38" customWidth="true"/>
    <col min="2" max="2" width="38.5" customWidth="true"/>
    <col min="3" max="3" width="16.63" customWidth="true"/>
    <col min="4" max="4" width="12.25" customWidth="true"/>
    <col min="5" max="6" width="24.5" customWidth="true"/>
    <col min="7" max="7" width="39.38" customWidth="true"/>
    <col min="8" max="26" width="7.63" customWidth="true"/>
  </cols>
  <sheetData>
    <row r="1">
      <c r="A1" s="1" t="s">
        <v>1</v>
      </c>
      <c r="B1" s="2"/>
      <c r="C1" s="2"/>
      <c r="D1" s="2"/>
      <c r="E1" s="2"/>
      <c r="F1" s="2"/>
      <c r="G1" s="3"/>
    </row>
    <row r="2">
      <c r="A2" s="4" t="s">
        <v>3</v>
      </c>
    </row>
    <row r="3">
      <c r="A3" s="5" t="s">
        <v>6</v>
      </c>
      <c r="B3" s="5" t="s">
        <v>9</v>
      </c>
      <c r="C3" s="5" t="s">
        <v>7</v>
      </c>
      <c r="D3" s="5" t="s">
        <v>10</v>
      </c>
      <c r="E3" s="5" t="s">
        <v>12</v>
      </c>
      <c r="F3" s="5" t="s">
        <v>13</v>
      </c>
      <c r="G3" s="5" t="s">
        <v>15</v>
      </c>
    </row>
    <row r="4">
      <c r="A4" s="6" t="s">
        <v>18</v>
      </c>
      <c r="B4" s="8" t="s">
        <v>21</v>
      </c>
      <c r="C4" s="9" t="s">
        <v>24</v>
      </c>
      <c r="D4" s="10" t="s">
        <v>27</v>
      </c>
      <c r="E4" s="11">
        <v>9.81</v>
      </c>
      <c r="F4" s="11">
        <v>9.81</v>
      </c>
      <c r="G4" s="12" t="s">
        <v>29</v>
      </c>
    </row>
    <row r="5">
      <c r="A5" s="6" t="s">
        <v>30</v>
      </c>
      <c r="B5" s="8" t="s">
        <v>31</v>
      </c>
      <c r="C5" s="9" t="s">
        <v>32</v>
      </c>
      <c r="D5" s="10" t="s">
        <v>33</v>
      </c>
      <c r="E5" s="13">
        <v>224.3</v>
      </c>
      <c r="F5" s="13">
        <v>224.3</v>
      </c>
      <c r="G5" s="12" t="s">
        <v>34</v>
      </c>
    </row>
    <row r="6">
      <c r="A6" s="6" t="s">
        <v>30</v>
      </c>
      <c r="B6" s="8" t="s">
        <v>35</v>
      </c>
      <c r="C6" s="9" t="s">
        <v>36</v>
      </c>
      <c r="D6" s="10" t="s">
        <v>37</v>
      </c>
      <c r="E6" s="15">
        <v>0.5</v>
      </c>
      <c r="F6" s="15">
        <v>0.45</v>
      </c>
      <c r="G6" s="12" t="s">
        <v>38</v>
      </c>
    </row>
    <row r="7">
      <c r="A7" s="6" t="s">
        <v>30</v>
      </c>
      <c r="B7" s="8" t="s">
        <v>39</v>
      </c>
      <c r="C7" s="9" t="s">
        <v>40</v>
      </c>
      <c r="D7" s="10" t="s">
        <v>33</v>
      </c>
      <c r="E7" s="13">
        <v>24.4</v>
      </c>
      <c r="F7" s="13">
        <v>24.4</v>
      </c>
      <c r="G7" s="12" t="s">
        <v>41</v>
      </c>
    </row>
    <row r="8">
      <c r="A8" s="6" t="s">
        <v>30</v>
      </c>
      <c r="B8" s="8" t="s">
        <v>42</v>
      </c>
      <c r="C8" s="9" t="s">
        <v>43</v>
      </c>
      <c r="D8" s="10" t="s">
        <v>33</v>
      </c>
      <c r="E8" s="13">
        <v>30.1</v>
      </c>
      <c r="F8" s="13">
        <v>30.1</v>
      </c>
      <c r="G8" s="12" t="s">
        <v>44</v>
      </c>
    </row>
    <row r="9">
      <c r="A9" s="6" t="s">
        <v>45</v>
      </c>
      <c r="B9" s="17" t="s">
        <v>20</v>
      </c>
      <c r="C9" s="9" t="s">
        <v>23</v>
      </c>
      <c r="D9" s="10" t="s">
        <v>26</v>
      </c>
      <c r="E9" s="11">
        <v>1200.0</v>
      </c>
      <c r="F9" s="13">
        <v>1280.0</v>
      </c>
      <c r="G9" s="12" t="s">
        <v>50</v>
      </c>
    </row>
    <row r="10">
      <c r="A10" s="6" t="s">
        <v>45</v>
      </c>
      <c r="B10" s="17" t="s">
        <v>51</v>
      </c>
      <c r="C10" s="9" t="s">
        <v>52</v>
      </c>
      <c r="D10" s="10" t="s">
        <v>26</v>
      </c>
      <c r="E10" s="11">
        <v>1140.0</v>
      </c>
      <c r="F10" s="11">
        <v>1140.0</v>
      </c>
      <c r="G10" s="12" t="s">
        <v>50</v>
      </c>
    </row>
    <row r="11">
      <c r="A11" s="6" t="s">
        <v>53</v>
      </c>
      <c r="B11" s="17" t="s">
        <v>54</v>
      </c>
      <c r="C11" s="9" t="s">
        <v>55</v>
      </c>
      <c r="D11" s="10" t="s">
        <v>26</v>
      </c>
      <c r="E11" s="13">
        <v>1560.0</v>
      </c>
      <c r="F11" s="13">
        <v>1560.0</v>
      </c>
      <c r="G11" s="12" t="s">
        <v>56</v>
      </c>
    </row>
    <row r="12">
      <c r="A12" s="6" t="s">
        <v>57</v>
      </c>
      <c r="B12" s="8" t="s">
        <v>58</v>
      </c>
      <c r="C12" s="9" t="s">
        <v>59</v>
      </c>
      <c r="D12" s="10" t="s">
        <v>26</v>
      </c>
      <c r="E12" s="13">
        <v>300.0</v>
      </c>
      <c r="F12" s="13">
        <v>300.0</v>
      </c>
      <c r="G12" s="12" t="s">
        <v>60</v>
      </c>
    </row>
    <row r="13">
      <c r="A13" s="6" t="s">
        <v>57</v>
      </c>
      <c r="B13" s="18" t="s">
        <v>61</v>
      </c>
      <c r="C13" s="9" t="s">
        <v>66</v>
      </c>
      <c r="D13" s="10" t="s">
        <v>26</v>
      </c>
      <c r="E13" s="11">
        <v>230.0</v>
      </c>
      <c r="F13" s="11">
        <v>230.0</v>
      </c>
      <c r="G13" s="12" t="s">
        <v>67</v>
      </c>
    </row>
    <row r="14">
      <c r="A14" s="6" t="s">
        <v>57</v>
      </c>
      <c r="B14" s="20" t="s">
        <v>68</v>
      </c>
      <c r="C14" s="22" t="s">
        <v>69</v>
      </c>
      <c r="D14" s="23" t="s">
        <v>26</v>
      </c>
      <c r="E14" s="24">
        <v>230.0</v>
      </c>
      <c r="F14" s="24">
        <v>230.0</v>
      </c>
      <c r="G14" s="25" t="s">
        <v>73</v>
      </c>
    </row>
    <row r="15">
      <c r="A15" s="26" t="s">
        <v>74</v>
      </c>
      <c r="B15" s="27" t="s">
        <v>75</v>
      </c>
      <c r="C15" s="28" t="s">
        <v>76</v>
      </c>
      <c r="D15" s="29" t="s">
        <v>26</v>
      </c>
      <c r="E15" s="30">
        <v>10.0</v>
      </c>
      <c r="F15" s="30">
        <v>10.0</v>
      </c>
      <c r="G15" s="31" t="s">
        <v>77</v>
      </c>
    </row>
    <row r="16">
      <c r="A16" s="26" t="s">
        <v>74</v>
      </c>
      <c r="B16" s="27" t="s">
        <v>78</v>
      </c>
      <c r="C16" s="28" t="s">
        <v>79</v>
      </c>
      <c r="D16" s="29" t="s">
        <v>26</v>
      </c>
      <c r="E16" s="30">
        <v>35.0</v>
      </c>
      <c r="F16" s="30">
        <v>35.0</v>
      </c>
      <c r="G16" s="31" t="s">
        <v>80</v>
      </c>
    </row>
    <row r="17">
      <c r="A17" s="26" t="s">
        <v>81</v>
      </c>
      <c r="B17" s="27" t="s">
        <v>82</v>
      </c>
      <c r="C17" s="28" t="s">
        <v>25</v>
      </c>
      <c r="D17" s="29" t="s">
        <v>26</v>
      </c>
      <c r="E17" s="30">
        <v>293.55</v>
      </c>
      <c r="F17" s="32">
        <v>380.0</v>
      </c>
      <c r="G17" s="31" t="s">
        <v>83</v>
      </c>
    </row>
    <row r="18">
      <c r="A18" s="26" t="s">
        <v>81</v>
      </c>
      <c r="B18" s="33" t="s">
        <v>84</v>
      </c>
      <c r="C18" s="34" t="s">
        <v>48</v>
      </c>
      <c r="D18" s="35" t="s">
        <v>26</v>
      </c>
      <c r="E18" s="36">
        <v>260.43</v>
      </c>
      <c r="F18" s="37"/>
      <c r="G18" s="38"/>
    </row>
    <row r="19">
      <c r="A19" s="26" t="s">
        <v>81</v>
      </c>
      <c r="B19" s="27" t="s">
        <v>85</v>
      </c>
      <c r="C19" s="28" t="s">
        <v>86</v>
      </c>
      <c r="D19" s="29" t="s">
        <v>87</v>
      </c>
      <c r="E19" s="39">
        <f t="shared" ref="E19:F19" si="1">E18/E17</f>
        <v>0.8871742463</v>
      </c>
      <c r="F19" s="39">
        <f t="shared" si="1"/>
        <v>0</v>
      </c>
      <c r="G19" s="31" t="s">
        <v>91</v>
      </c>
    </row>
    <row r="20">
      <c r="A20" s="26" t="s">
        <v>81</v>
      </c>
      <c r="B20" s="27" t="s">
        <v>92</v>
      </c>
      <c r="C20" s="28" t="s">
        <v>93</v>
      </c>
      <c r="D20" s="29" t="s">
        <v>26</v>
      </c>
      <c r="E20" s="30">
        <v>470.0</v>
      </c>
      <c r="F20" s="32">
        <v>440.0</v>
      </c>
      <c r="G20" s="31" t="s">
        <v>94</v>
      </c>
    </row>
    <row r="21">
      <c r="A21" s="26" t="s">
        <v>95</v>
      </c>
      <c r="B21" s="27" t="s">
        <v>96</v>
      </c>
      <c r="C21" s="28" t="s">
        <v>97</v>
      </c>
      <c r="D21" s="29" t="s">
        <v>65</v>
      </c>
      <c r="E21" s="40">
        <v>-2.0</v>
      </c>
      <c r="F21" s="40">
        <v>-2.0</v>
      </c>
      <c r="G21" s="31" t="s">
        <v>98</v>
      </c>
    </row>
    <row r="22">
      <c r="A22" s="26" t="s">
        <v>95</v>
      </c>
      <c r="B22" s="27" t="s">
        <v>63</v>
      </c>
      <c r="C22" s="28" t="s">
        <v>64</v>
      </c>
      <c r="D22" s="29" t="s">
        <v>65</v>
      </c>
      <c r="E22" s="41">
        <v>10.4</v>
      </c>
      <c r="F22" s="41">
        <v>10.4</v>
      </c>
      <c r="G22" s="31" t="s">
        <v>104</v>
      </c>
    </row>
    <row r="23">
      <c r="A23" s="26" t="s">
        <v>95</v>
      </c>
      <c r="B23" s="27" t="s">
        <v>105</v>
      </c>
      <c r="C23" s="28" t="s">
        <v>106</v>
      </c>
      <c r="D23" s="29" t="s">
        <v>65</v>
      </c>
      <c r="E23" s="39">
        <v>5.0</v>
      </c>
      <c r="F23" s="41">
        <v>3.0</v>
      </c>
      <c r="G23" s="31" t="s">
        <v>104</v>
      </c>
    </row>
    <row r="24">
      <c r="A24" s="26" t="s">
        <v>95</v>
      </c>
      <c r="B24" s="27" t="s">
        <v>107</v>
      </c>
      <c r="C24" s="28" t="s">
        <v>108</v>
      </c>
      <c r="D24" s="29" t="s">
        <v>26</v>
      </c>
      <c r="E24" s="30">
        <v>83.8</v>
      </c>
      <c r="F24" s="32">
        <v>35.0</v>
      </c>
      <c r="G24" s="31" t="s">
        <v>104</v>
      </c>
    </row>
    <row r="25">
      <c r="A25" s="26" t="s">
        <v>95</v>
      </c>
      <c r="B25" s="42" t="s">
        <v>109</v>
      </c>
      <c r="C25" s="28" t="s">
        <v>110</v>
      </c>
      <c r="D25" s="29" t="s">
        <v>26</v>
      </c>
      <c r="E25" s="30">
        <v>44.5</v>
      </c>
      <c r="F25" s="32">
        <v>15.0</v>
      </c>
      <c r="G25" s="43" t="s">
        <v>111</v>
      </c>
    </row>
    <row r="26">
      <c r="A26" s="26" t="s">
        <v>95</v>
      </c>
      <c r="B26" s="27" t="s">
        <v>71</v>
      </c>
      <c r="C26" s="28" t="s">
        <v>72</v>
      </c>
      <c r="D26" s="29" t="s">
        <v>26</v>
      </c>
      <c r="E26" s="30">
        <f>53.34</f>
        <v>53.34</v>
      </c>
      <c r="F26" s="30">
        <v>53.34</v>
      </c>
      <c r="G26" s="31" t="s">
        <v>115</v>
      </c>
    </row>
    <row r="27">
      <c r="A27" s="26" t="s">
        <v>116</v>
      </c>
      <c r="B27" s="27" t="s">
        <v>117</v>
      </c>
      <c r="C27" s="28" t="s">
        <v>118</v>
      </c>
      <c r="D27" s="29" t="s">
        <v>26</v>
      </c>
      <c r="E27" s="30">
        <v>230.67</v>
      </c>
      <c r="F27" s="32">
        <v>350.0</v>
      </c>
      <c r="G27" s="31" t="s">
        <v>119</v>
      </c>
    </row>
    <row r="28">
      <c r="A28" s="26" t="s">
        <v>116</v>
      </c>
      <c r="B28" s="33" t="s">
        <v>120</v>
      </c>
      <c r="C28" s="35" t="s">
        <v>118</v>
      </c>
      <c r="D28" s="35" t="s">
        <v>26</v>
      </c>
      <c r="E28" s="44">
        <v>202.69</v>
      </c>
      <c r="F28" s="45"/>
      <c r="G28" s="38"/>
    </row>
    <row r="29">
      <c r="A29" s="26" t="s">
        <v>116</v>
      </c>
      <c r="B29" s="27" t="s">
        <v>123</v>
      </c>
      <c r="C29" s="28" t="s">
        <v>124</v>
      </c>
      <c r="D29" s="29" t="s">
        <v>87</v>
      </c>
      <c r="E29" s="39">
        <f t="shared" ref="E29:F29" si="2">E28/E27</f>
        <v>0.8787011748</v>
      </c>
      <c r="F29" s="39">
        <f t="shared" si="2"/>
        <v>0</v>
      </c>
      <c r="G29" s="31" t="s">
        <v>126</v>
      </c>
    </row>
    <row r="30">
      <c r="A30" s="26" t="s">
        <v>116</v>
      </c>
      <c r="B30" s="27" t="s">
        <v>127</v>
      </c>
      <c r="C30" s="28" t="s">
        <v>128</v>
      </c>
      <c r="D30" s="29" t="s">
        <v>26</v>
      </c>
      <c r="E30" s="30">
        <v>500.0</v>
      </c>
      <c r="F30" s="32">
        <v>480.0</v>
      </c>
      <c r="G30" s="31" t="s">
        <v>129</v>
      </c>
    </row>
    <row r="31">
      <c r="A31" s="26" t="s">
        <v>130</v>
      </c>
      <c r="B31" s="27" t="s">
        <v>131</v>
      </c>
      <c r="C31" s="28" t="s">
        <v>132</v>
      </c>
      <c r="D31" s="29" t="s">
        <v>65</v>
      </c>
      <c r="E31" s="41">
        <v>0.0</v>
      </c>
      <c r="F31" s="41">
        <v>0.0</v>
      </c>
      <c r="G31" s="31" t="s">
        <v>98</v>
      </c>
    </row>
    <row r="32">
      <c r="A32" s="26" t="s">
        <v>130</v>
      </c>
      <c r="B32" s="27" t="s">
        <v>137</v>
      </c>
      <c r="C32" s="28" t="s">
        <v>138</v>
      </c>
      <c r="D32" s="29" t="s">
        <v>65</v>
      </c>
      <c r="E32" s="41">
        <v>0.0</v>
      </c>
      <c r="F32" s="41">
        <v>0.0</v>
      </c>
      <c r="G32" s="31" t="s">
        <v>139</v>
      </c>
    </row>
    <row r="33">
      <c r="A33" s="26" t="s">
        <v>130</v>
      </c>
      <c r="B33" s="42" t="s">
        <v>140</v>
      </c>
      <c r="C33" s="28" t="s">
        <v>141</v>
      </c>
      <c r="D33" s="29" t="s">
        <v>26</v>
      </c>
      <c r="E33" s="30">
        <v>25.4</v>
      </c>
      <c r="F33" s="32">
        <v>25.0</v>
      </c>
      <c r="G33" s="43" t="s">
        <v>142</v>
      </c>
    </row>
    <row r="34">
      <c r="A34" s="26" t="s">
        <v>143</v>
      </c>
      <c r="B34" s="46" t="s">
        <v>144</v>
      </c>
      <c r="C34" s="28" t="s">
        <v>145</v>
      </c>
      <c r="D34" s="29" t="s">
        <v>26</v>
      </c>
      <c r="E34" s="32">
        <v>320.0</v>
      </c>
      <c r="F34" s="32">
        <v>360.0</v>
      </c>
      <c r="G34" s="31" t="s">
        <v>146</v>
      </c>
    </row>
    <row r="35">
      <c r="A35" s="6" t="s">
        <v>143</v>
      </c>
      <c r="B35" s="47" t="s">
        <v>150</v>
      </c>
      <c r="C35" s="48" t="s">
        <v>152</v>
      </c>
      <c r="D35" s="49" t="s">
        <v>65</v>
      </c>
      <c r="E35" s="50">
        <v>15.0</v>
      </c>
      <c r="F35" s="50">
        <v>15.0</v>
      </c>
      <c r="G35" s="51" t="s">
        <v>154</v>
      </c>
    </row>
    <row r="36">
      <c r="A36" s="6" t="s">
        <v>156</v>
      </c>
      <c r="B36" s="8" t="s">
        <v>157</v>
      </c>
      <c r="C36" s="9" t="s">
        <v>158</v>
      </c>
      <c r="D36" s="10" t="s">
        <v>160</v>
      </c>
      <c r="E36" s="11">
        <v>6.0</v>
      </c>
      <c r="F36" s="11">
        <v>6.0</v>
      </c>
      <c r="G36" s="12" t="s">
        <v>161</v>
      </c>
    </row>
    <row r="37">
      <c r="A37" s="6" t="s">
        <v>164</v>
      </c>
      <c r="B37" s="8" t="s">
        <v>166</v>
      </c>
      <c r="C37" s="9" t="s">
        <v>167</v>
      </c>
      <c r="D37" s="10" t="s">
        <v>169</v>
      </c>
      <c r="E37" s="11">
        <v>35.0</v>
      </c>
      <c r="F37" s="11">
        <v>35.0</v>
      </c>
      <c r="G37" s="12" t="s">
        <v>170</v>
      </c>
    </row>
    <row r="38">
      <c r="A38" s="6" t="s">
        <v>164</v>
      </c>
      <c r="B38" s="8" t="s">
        <v>171</v>
      </c>
      <c r="C38" s="9" t="s">
        <v>172</v>
      </c>
      <c r="D38" s="10" t="s">
        <v>87</v>
      </c>
      <c r="E38" s="52">
        <v>1.108</v>
      </c>
      <c r="F38" s="52">
        <v>1.108</v>
      </c>
      <c r="G38" s="12" t="s">
        <v>179</v>
      </c>
    </row>
    <row r="39">
      <c r="A39" s="6" t="s">
        <v>164</v>
      </c>
      <c r="B39" s="8" t="s">
        <v>181</v>
      </c>
      <c r="C39" s="9" t="s">
        <v>182</v>
      </c>
      <c r="D39" s="10" t="s">
        <v>183</v>
      </c>
      <c r="E39" s="11">
        <v>0.0</v>
      </c>
      <c r="F39" s="11">
        <v>0.0</v>
      </c>
      <c r="G39" s="12" t="s">
        <v>184</v>
      </c>
    </row>
    <row r="40">
      <c r="A40" s="6" t="s">
        <v>185</v>
      </c>
      <c r="B40" s="8" t="s">
        <v>186</v>
      </c>
      <c r="C40" s="9" t="s">
        <v>187</v>
      </c>
      <c r="D40" s="10" t="s">
        <v>169</v>
      </c>
      <c r="E40" s="13">
        <v>35.0</v>
      </c>
      <c r="F40" s="13">
        <v>35.0</v>
      </c>
      <c r="G40" s="12" t="s">
        <v>170</v>
      </c>
    </row>
    <row r="41">
      <c r="A41" s="6" t="s">
        <v>185</v>
      </c>
      <c r="B41" s="8" t="s">
        <v>188</v>
      </c>
      <c r="C41" s="9" t="s">
        <v>189</v>
      </c>
      <c r="D41" s="10" t="s">
        <v>87</v>
      </c>
      <c r="E41" s="52">
        <v>0.79</v>
      </c>
      <c r="F41" s="52">
        <v>0.79</v>
      </c>
      <c r="G41" s="12" t="s">
        <v>179</v>
      </c>
    </row>
    <row r="42">
      <c r="A42" s="6" t="s">
        <v>185</v>
      </c>
      <c r="B42" s="8" t="s">
        <v>190</v>
      </c>
      <c r="C42" s="9" t="s">
        <v>191</v>
      </c>
      <c r="D42" s="10" t="s">
        <v>183</v>
      </c>
      <c r="E42" s="11">
        <v>0.0</v>
      </c>
      <c r="F42" s="11">
        <v>0.0</v>
      </c>
      <c r="G42" s="12" t="s">
        <v>184</v>
      </c>
    </row>
    <row r="43">
      <c r="A43" s="6" t="s">
        <v>192</v>
      </c>
      <c r="B43" s="8" t="s">
        <v>193</v>
      </c>
      <c r="C43" s="9" t="s">
        <v>194</v>
      </c>
      <c r="D43" s="10" t="s">
        <v>26</v>
      </c>
      <c r="E43" s="13">
        <v>228.6</v>
      </c>
      <c r="F43" s="11">
        <v>230.0</v>
      </c>
      <c r="G43" s="12" t="s">
        <v>196</v>
      </c>
      <c r="H43" s="53" t="s">
        <v>198</v>
      </c>
    </row>
    <row r="44">
      <c r="A44" s="6" t="s">
        <v>192</v>
      </c>
      <c r="B44" s="8" t="s">
        <v>199</v>
      </c>
      <c r="C44" s="9" t="s">
        <v>200</v>
      </c>
      <c r="D44" s="10" t="s">
        <v>169</v>
      </c>
      <c r="E44" s="13">
        <v>115.0</v>
      </c>
      <c r="F44" s="11">
        <v>110.0</v>
      </c>
      <c r="G44" s="12" t="s">
        <v>196</v>
      </c>
    </row>
    <row r="45">
      <c r="A45" s="6" t="s">
        <v>192</v>
      </c>
      <c r="B45" s="8" t="s">
        <v>202</v>
      </c>
      <c r="C45" s="9" t="s">
        <v>204</v>
      </c>
      <c r="D45" s="10" t="s">
        <v>87</v>
      </c>
      <c r="E45" s="52">
        <v>1.65</v>
      </c>
      <c r="F45" s="54">
        <v>1.75</v>
      </c>
      <c r="G45" s="12" t="s">
        <v>196</v>
      </c>
    </row>
    <row r="46">
      <c r="A46" s="6" t="s">
        <v>192</v>
      </c>
      <c r="B46" s="8" t="s">
        <v>208</v>
      </c>
      <c r="C46" s="9" t="s">
        <v>210</v>
      </c>
      <c r="D46" s="10" t="s">
        <v>211</v>
      </c>
      <c r="E46" s="52">
        <v>-4.0E-4</v>
      </c>
      <c r="F46" s="54">
        <v>-3.0E-4</v>
      </c>
      <c r="G46" s="12" t="s">
        <v>196</v>
      </c>
    </row>
    <row r="47">
      <c r="A47" s="6" t="s">
        <v>192</v>
      </c>
      <c r="B47" s="8" t="s">
        <v>212</v>
      </c>
      <c r="C47" s="9" t="s">
        <v>213</v>
      </c>
      <c r="D47" s="10" t="s">
        <v>159</v>
      </c>
      <c r="E47" s="56">
        <v>500.0</v>
      </c>
      <c r="F47" s="56">
        <v>500.0</v>
      </c>
      <c r="G47" s="12" t="s">
        <v>214</v>
      </c>
    </row>
    <row r="48">
      <c r="A48" s="6" t="s">
        <v>215</v>
      </c>
      <c r="B48" s="8" t="s">
        <v>216</v>
      </c>
      <c r="C48" s="9" t="s">
        <v>217</v>
      </c>
      <c r="D48" s="10" t="s">
        <v>26</v>
      </c>
      <c r="E48" s="13">
        <v>228.6</v>
      </c>
      <c r="F48" s="11">
        <v>230.0</v>
      </c>
      <c r="G48" s="12" t="s">
        <v>196</v>
      </c>
      <c r="H48" s="53" t="s">
        <v>198</v>
      </c>
    </row>
    <row r="49">
      <c r="A49" s="6" t="s">
        <v>215</v>
      </c>
      <c r="B49" s="8" t="s">
        <v>218</v>
      </c>
      <c r="C49" s="9" t="s">
        <v>219</v>
      </c>
      <c r="D49" s="10" t="s">
        <v>169</v>
      </c>
      <c r="E49" s="13">
        <v>120.0</v>
      </c>
      <c r="F49" s="11">
        <v>110.0</v>
      </c>
      <c r="G49" s="12" t="s">
        <v>196</v>
      </c>
    </row>
    <row r="50">
      <c r="A50" s="6" t="s">
        <v>215</v>
      </c>
      <c r="B50" s="8" t="s">
        <v>223</v>
      </c>
      <c r="C50" s="9" t="s">
        <v>224</v>
      </c>
      <c r="D50" s="10" t="s">
        <v>87</v>
      </c>
      <c r="E50" s="52">
        <v>1.55</v>
      </c>
      <c r="F50" s="54">
        <v>1.75</v>
      </c>
      <c r="G50" s="12" t="s">
        <v>196</v>
      </c>
    </row>
    <row r="51">
      <c r="A51" s="6" t="s">
        <v>215</v>
      </c>
      <c r="B51" s="8" t="s">
        <v>225</v>
      </c>
      <c r="C51" s="9" t="s">
        <v>226</v>
      </c>
      <c r="D51" s="10" t="s">
        <v>211</v>
      </c>
      <c r="E51" s="52">
        <v>-3.5E-4</v>
      </c>
      <c r="F51" s="54">
        <v>-3.0E-4</v>
      </c>
      <c r="G51" s="12" t="s">
        <v>196</v>
      </c>
    </row>
    <row r="52">
      <c r="A52" s="6" t="s">
        <v>215</v>
      </c>
      <c r="B52" s="8" t="s">
        <v>230</v>
      </c>
      <c r="C52" s="9" t="s">
        <v>232</v>
      </c>
      <c r="D52" s="10" t="s">
        <v>159</v>
      </c>
      <c r="E52" s="56">
        <v>500.0</v>
      </c>
      <c r="F52" s="56">
        <v>500.0</v>
      </c>
      <c r="G52" s="12" t="s">
        <v>214</v>
      </c>
    </row>
    <row r="53">
      <c r="A53" s="6" t="s">
        <v>233</v>
      </c>
      <c r="B53" s="8" t="s">
        <v>234</v>
      </c>
      <c r="C53" s="9" t="s">
        <v>235</v>
      </c>
      <c r="D53" s="10" t="s">
        <v>26</v>
      </c>
      <c r="E53" s="13">
        <v>25.4</v>
      </c>
      <c r="F53" s="13">
        <v>25.4</v>
      </c>
      <c r="G53" s="12" t="s">
        <v>236</v>
      </c>
    </row>
    <row r="54">
      <c r="A54" s="6" t="s">
        <v>233</v>
      </c>
      <c r="B54" s="58" t="s">
        <v>237</v>
      </c>
      <c r="C54" s="9" t="s">
        <v>242</v>
      </c>
      <c r="D54" s="10" t="s">
        <v>26</v>
      </c>
      <c r="E54" s="11">
        <v>1.65</v>
      </c>
      <c r="F54" s="11">
        <v>1.65</v>
      </c>
      <c r="G54" s="12" t="s">
        <v>243</v>
      </c>
    </row>
    <row r="55">
      <c r="A55" s="6" t="s">
        <v>233</v>
      </c>
      <c r="B55" s="59" t="s">
        <v>244</v>
      </c>
      <c r="C55" s="9" t="s">
        <v>245</v>
      </c>
      <c r="D55" s="10" t="s">
        <v>246</v>
      </c>
      <c r="E55" s="13">
        <v>190000.0</v>
      </c>
      <c r="F55" s="13">
        <v>190000.0</v>
      </c>
      <c r="G55" s="12" t="s">
        <v>247</v>
      </c>
    </row>
    <row r="56">
      <c r="A56" s="6" t="s">
        <v>233</v>
      </c>
      <c r="B56" s="59" t="s">
        <v>248</v>
      </c>
      <c r="C56" s="9" t="s">
        <v>249</v>
      </c>
      <c r="D56" s="10" t="s">
        <v>246</v>
      </c>
      <c r="E56" s="13">
        <v>330.0</v>
      </c>
      <c r="F56" s="13">
        <v>330.0</v>
      </c>
      <c r="G56" s="12" t="s">
        <v>247</v>
      </c>
    </row>
    <row r="57">
      <c r="A57" s="6" t="s">
        <v>252</v>
      </c>
      <c r="B57" s="60" t="s">
        <v>254</v>
      </c>
      <c r="C57" s="9" t="s">
        <v>255</v>
      </c>
      <c r="D57" s="10" t="s">
        <v>26</v>
      </c>
      <c r="E57" s="13">
        <v>30.42</v>
      </c>
      <c r="F57" s="13">
        <v>30.42</v>
      </c>
      <c r="G57" s="12" t="s">
        <v>256</v>
      </c>
    </row>
    <row r="58">
      <c r="A58" s="6" t="s">
        <v>257</v>
      </c>
      <c r="B58" s="8" t="s">
        <v>258</v>
      </c>
      <c r="C58" s="9" t="s">
        <v>259</v>
      </c>
      <c r="D58" s="10" t="s">
        <v>24</v>
      </c>
      <c r="E58" s="52">
        <v>1.7</v>
      </c>
      <c r="F58" s="52">
        <v>1.7</v>
      </c>
      <c r="G58" s="12" t="s">
        <v>260</v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1:G1"/>
    <mergeCell ref="A2:G2"/>
    <mergeCell ref="H43:H47"/>
    <mergeCell ref="H48:H52"/>
  </mergeCells>
  <printOptions/>
  <pageMargins left="0.75" right="0.75" top="1" bottom="1" header="0.0" footer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G1000"/>
  <sheetViews>
    <sheetView showGridLines="false" workbookViewId="0"/>
  </sheetViews>
  <sheetFormatPr defaultColWidth="12.63" defaultRowHeight="15.75" customHeight="true"/>
  <cols>
    <col min="1" max="1" width="49.88" customWidth="true"/>
    <col min="2" max="2" width="17.5" customWidth="true"/>
    <col min="3" max="3" width="12.25" customWidth="true"/>
    <col min="4" max="4" width="55.13" customWidth="true"/>
    <col min="5" max="6" width="24.5" customWidth="true"/>
    <col min="7" max="7" width="29.75" customWidth="true"/>
    <col min="8" max="26" width="7.63" customWidth="true"/>
  </cols>
  <sheetData>
    <row r="1">
      <c r="A1" s="1" t="s">
        <v>0</v>
      </c>
      <c r="B1" s="2"/>
      <c r="C1" s="2"/>
      <c r="D1" s="2"/>
      <c r="E1" s="2"/>
      <c r="F1" s="2"/>
      <c r="G1" s="3"/>
    </row>
    <row r="3">
      <c r="A3" s="5" t="s">
        <v>4</v>
      </c>
      <c r="B3" s="5" t="s">
        <v>7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>
      <c r="A4" s="7" t="s">
        <v>17</v>
      </c>
      <c r="B4" s="2"/>
      <c r="C4" s="2"/>
      <c r="D4" s="2"/>
      <c r="E4" s="2"/>
      <c r="F4" s="2"/>
      <c r="G4" s="3"/>
    </row>
    <row r="5">
      <c r="A5" s="8" t="s">
        <v>22</v>
      </c>
      <c r="B5" s="9" t="s">
        <v>25</v>
      </c>
      <c r="C5" s="10" t="s">
        <v>26</v>
      </c>
      <c r="D5" s="6" t="s">
        <v>28</v>
      </c>
      <c r="E5" s="14">
        <f>'02_INPUT_VARIABLES'!E17</f>
        <v>293.55</v>
      </c>
      <c r="F5" s="16">
        <f>'02_INPUT_VARIABLES'!F17</f>
        <v>380</v>
      </c>
      <c r="G5" s="12" t="s">
        <v>46</v>
      </c>
    </row>
    <row r="6">
      <c r="A6" s="8" t="s">
        <v>47</v>
      </c>
      <c r="B6" s="9" t="s">
        <v>48</v>
      </c>
      <c r="C6" s="10" t="s">
        <v>26</v>
      </c>
      <c r="D6" s="6" t="s">
        <v>49</v>
      </c>
      <c r="E6" s="14">
        <f>E5 * '02_INPUT_VARIABLES'!E19</f>
        <v>260.43</v>
      </c>
      <c r="F6" s="16">
        <f>F5 * '02_INPUT_VARIABLES'!F19</f>
        <v>0</v>
      </c>
      <c r="G6" s="12" t="s">
        <v>62</v>
      </c>
    </row>
    <row r="7">
      <c r="A7" s="8" t="s">
        <v>63</v>
      </c>
      <c r="B7" s="9" t="s">
        <v>64</v>
      </c>
      <c r="C7" s="10" t="s">
        <v>65</v>
      </c>
      <c r="D7" s="6" t="s">
        <v>28</v>
      </c>
      <c r="E7" s="19">
        <f>'02_INPUT_VARIABLES'!E22</f>
        <v>10.4</v>
      </c>
      <c r="F7" s="21">
        <f>'02_INPUT_VARIABLES'!F22</f>
        <v>10.4</v>
      </c>
      <c r="G7" s="12" t="s">
        <v>70</v>
      </c>
    </row>
    <row r="8">
      <c r="A8" s="8" t="s">
        <v>71</v>
      </c>
      <c r="B8" s="9" t="s">
        <v>72</v>
      </c>
      <c r="C8" s="10" t="s">
        <v>26</v>
      </c>
      <c r="D8" s="6" t="s">
        <v>28</v>
      </c>
      <c r="E8" s="14">
        <f>'02_INPUT_VARIABLES'!E26</f>
        <v>53.34</v>
      </c>
      <c r="F8" s="16">
        <f>'02_INPUT_VARIABLES'!F26</f>
        <v>53.34</v>
      </c>
      <c r="G8" s="12" t="s">
        <v>62</v>
      </c>
    </row>
    <row r="9">
      <c r="A9" s="8" t="s">
        <v>88</v>
      </c>
      <c r="B9" s="9" t="s">
        <v>89</v>
      </c>
      <c r="C9" s="10" t="s">
        <v>26</v>
      </c>
      <c r="D9" s="6" t="s">
        <v>90</v>
      </c>
      <c r="E9" s="14">
        <f>E5 / (1 - '02_INPUT_VARIABLES'!E19)</f>
        <v>2601.799592</v>
      </c>
      <c r="F9" s="16">
        <f>F5 / (1 - '02_INPUT_VARIABLES'!F19)</f>
        <v>380</v>
      </c>
      <c r="G9" s="12" t="s">
        <v>99</v>
      </c>
    </row>
    <row r="10">
      <c r="A10" s="8" t="s">
        <v>100</v>
      </c>
      <c r="B10" s="9" t="s">
        <v>101</v>
      </c>
      <c r="C10" s="10" t="s">
        <v>102</v>
      </c>
      <c r="D10" s="6" t="s">
        <v>103</v>
      </c>
      <c r="E10" s="19">
        <f>('04_LOAD_TRANSFER_ROLL_GRIP'!E12 - '02_INPUT_VARIABLES'!E15) / E9</f>
        <v>0.1200967245</v>
      </c>
      <c r="F10" s="21">
        <f>('04_LOAD_TRANSFER_ROLL_GRIP'!F12 - '02_INPUT_VARIABLES'!F15) / F9</f>
        <v>0.8222831815</v>
      </c>
      <c r="G10" s="12" t="s">
        <v>99</v>
      </c>
    </row>
    <row r="11">
      <c r="A11" s="8" t="s">
        <v>112</v>
      </c>
      <c r="B11" s="9" t="s">
        <v>113</v>
      </c>
      <c r="C11" s="10" t="s">
        <v>26</v>
      </c>
      <c r="D11" s="6" t="s">
        <v>114</v>
      </c>
      <c r="E11" s="14">
        <f t="shared" ref="E11:F11" si="1">E5 * 0.95</f>
        <v>278.8725</v>
      </c>
      <c r="F11" s="16">
        <f t="shared" si="1"/>
        <v>361</v>
      </c>
      <c r="G11" s="12" t="s">
        <v>121</v>
      </c>
    </row>
    <row r="12">
      <c r="A12" s="7" t="s">
        <v>122</v>
      </c>
      <c r="B12" s="2"/>
      <c r="C12" s="2"/>
      <c r="D12" s="2"/>
      <c r="E12" s="2"/>
      <c r="F12" s="2"/>
      <c r="G12" s="3"/>
    </row>
    <row r="13">
      <c r="A13" s="8" t="s">
        <v>125</v>
      </c>
      <c r="B13" s="9" t="s">
        <v>118</v>
      </c>
      <c r="C13" s="10" t="s">
        <v>26</v>
      </c>
      <c r="D13" s="6" t="s">
        <v>28</v>
      </c>
      <c r="E13" s="14">
        <f>'02_INPUT_VARIABLES'!E27</f>
        <v>230.67</v>
      </c>
      <c r="F13" s="16">
        <f>'02_INPUT_VARIABLES'!F27</f>
        <v>350</v>
      </c>
      <c r="G13" s="12" t="s">
        <v>46</v>
      </c>
    </row>
    <row r="14">
      <c r="A14" s="8" t="s">
        <v>134</v>
      </c>
      <c r="B14" s="9" t="s">
        <v>135</v>
      </c>
      <c r="C14" s="10" t="s">
        <v>26</v>
      </c>
      <c r="D14" s="6" t="s">
        <v>136</v>
      </c>
      <c r="E14" s="14">
        <f>E13 * '02_INPUT_VARIABLES'!E29</f>
        <v>202.69</v>
      </c>
      <c r="F14" s="16">
        <f>F13 * '02_INPUT_VARIABLES'!F29</f>
        <v>0</v>
      </c>
      <c r="G14" s="12" t="s">
        <v>62</v>
      </c>
    </row>
    <row r="15">
      <c r="A15" s="8" t="s">
        <v>147</v>
      </c>
      <c r="B15" s="9" t="s">
        <v>148</v>
      </c>
      <c r="C15" s="10" t="s">
        <v>26</v>
      </c>
      <c r="D15" s="6" t="s">
        <v>149</v>
      </c>
      <c r="E15" s="14">
        <f>E13 / (1 - '02_INPUT_VARIABLES'!E29)</f>
        <v>1901.667223</v>
      </c>
      <c r="F15" s="16">
        <f>F13 / (1 - '02_INPUT_VARIABLES'!F29)</f>
        <v>350</v>
      </c>
      <c r="G15" s="12" t="s">
        <v>99</v>
      </c>
    </row>
    <row r="16">
      <c r="A16" s="8" t="s">
        <v>162</v>
      </c>
      <c r="B16" s="9" t="s">
        <v>165</v>
      </c>
      <c r="C16" s="10" t="s">
        <v>102</v>
      </c>
      <c r="D16" s="6" t="s">
        <v>168</v>
      </c>
      <c r="E16" s="19">
        <f>('04_LOAD_TRANSFER_ROLL_GRIP'!E12 - '02_INPUT_VARIABLES'!E16) / E15</f>
        <v>0.1511660955</v>
      </c>
      <c r="F16" s="21">
        <f>('04_LOAD_TRANSFER_ROLL_GRIP'!F12 - '02_INPUT_VARIABLES'!F16) / F15</f>
        <v>0.8213360256</v>
      </c>
      <c r="G16" s="12" t="s">
        <v>99</v>
      </c>
    </row>
    <row r="17">
      <c r="A17" s="8" t="s">
        <v>173</v>
      </c>
      <c r="B17" s="9" t="s">
        <v>174</v>
      </c>
      <c r="C17" s="10" t="s">
        <v>65</v>
      </c>
      <c r="D17" s="6" t="s">
        <v>175</v>
      </c>
      <c r="E17" s="19">
        <f>0</f>
        <v>0</v>
      </c>
      <c r="F17" s="21">
        <f>ATAN(('02_INPUT_VARIABLES'!F10 - '02_INPUT_VARIABLES'!E10) / (2 * '02_INPUT_VARIABLES'!F34)) * 180 / PI()</f>
        <v>0</v>
      </c>
      <c r="G17" s="12" t="s">
        <v>195</v>
      </c>
    </row>
    <row r="18">
      <c r="A18" s="7" t="s">
        <v>197</v>
      </c>
      <c r="B18" s="2"/>
      <c r="C18" s="2"/>
      <c r="D18" s="2"/>
      <c r="E18" s="2"/>
      <c r="F18" s="2"/>
      <c r="G18" s="3"/>
    </row>
    <row r="19">
      <c r="A19" s="8" t="s">
        <v>201</v>
      </c>
      <c r="B19" s="9" t="s">
        <v>203</v>
      </c>
      <c r="C19" s="10" t="s">
        <v>65</v>
      </c>
      <c r="D19" s="6" t="s">
        <v>205</v>
      </c>
      <c r="E19" s="19">
        <f>ATAN('02_INPUT_VARIABLES'!E11 / ('02_INPUT_VARIABLES'!E36*1000 - '02_INPUT_VARIABLES'!E9/2)) * 180 / PI()</f>
        <v>16.11341823</v>
      </c>
      <c r="F19" s="21">
        <f>ATAN('02_INPUT_VARIABLES'!F11 / ('02_INPUT_VARIABLES'!F36*1000 - '02_INPUT_VARIABLES'!F9/2)) * 180 / PI()</f>
        <v>16.22736104</v>
      </c>
      <c r="G19" s="12" t="s">
        <v>227</v>
      </c>
    </row>
    <row r="20">
      <c r="A20" s="8" t="s">
        <v>228</v>
      </c>
      <c r="B20" s="9" t="s">
        <v>229</v>
      </c>
      <c r="C20" s="10" t="s">
        <v>65</v>
      </c>
      <c r="D20" s="6" t="s">
        <v>231</v>
      </c>
      <c r="E20" s="19">
        <f>ATAN('02_INPUT_VARIABLES'!E11 / ('02_INPUT_VARIABLES'!E36*1000 + '02_INPUT_VARIABLES'!E9/2)) * 180 / PI()</f>
        <v>13.29857033</v>
      </c>
      <c r="F20" s="21">
        <f>ATAN('02_INPUT_VARIABLES'!F11 / ('02_INPUT_VARIABLES'!F36*1000 + '02_INPUT_VARIABLES'!F9/2)) * 180 / PI()</f>
        <v>13.22128023</v>
      </c>
      <c r="G20" s="12" t="s">
        <v>227</v>
      </c>
    </row>
    <row r="21">
      <c r="A21" s="8" t="s">
        <v>268</v>
      </c>
      <c r="B21" s="9" t="s">
        <v>269</v>
      </c>
      <c r="C21" s="10" t="s">
        <v>65</v>
      </c>
      <c r="D21" s="6" t="s">
        <v>270</v>
      </c>
      <c r="E21" s="19">
        <f t="shared" ref="E21:F21" si="2">E19 - E20</f>
        <v>2.814847903</v>
      </c>
      <c r="F21" s="21">
        <f t="shared" si="2"/>
        <v>3.006080812</v>
      </c>
      <c r="G21" s="12" t="s">
        <v>227</v>
      </c>
    </row>
    <row r="22">
      <c r="A22" s="7" t="s">
        <v>271</v>
      </c>
      <c r="B22" s="2"/>
      <c r="C22" s="2"/>
      <c r="D22" s="2"/>
      <c r="E22" s="2"/>
      <c r="F22" s="2"/>
      <c r="G22" s="3"/>
    </row>
    <row r="23">
      <c r="A23" s="8" t="s">
        <v>272</v>
      </c>
      <c r="B23" s="9" t="s">
        <v>273</v>
      </c>
      <c r="C23" s="10" t="s">
        <v>159</v>
      </c>
      <c r="D23" s="6" t="s">
        <v>274</v>
      </c>
      <c r="E23" s="14">
        <f>'04_LOAD_TRANSFER_ROLL_GRIP'!E18 * '02_INPUT_VARIABLES'!E43 * SIN('02_INPUT_VARIABLES'!E23*PI()/180) * SIN(E19*PI()/180)</f>
        <v>172.9708426</v>
      </c>
      <c r="F23" s="16">
        <f>'04_LOAD_TRANSFER_ROLL_GRIP'!F18 * '02_INPUT_VARIABLES'!F43 * SIN('02_INPUT_VARIABLES'!F23*PI()/180) * SIN(F19*PI()/180)</f>
        <v>103.9370904</v>
      </c>
      <c r="G23" s="12" t="s">
        <v>281</v>
      </c>
    </row>
    <row r="24">
      <c r="A24" s="8" t="s">
        <v>282</v>
      </c>
      <c r="B24" s="9" t="s">
        <v>283</v>
      </c>
      <c r="C24" s="10" t="s">
        <v>284</v>
      </c>
      <c r="D24" s="6" t="s">
        <v>285</v>
      </c>
      <c r="E24" s="14">
        <f>'04_LOAD_TRANSFER_ROLL_GRIP'!E52 * (E8 / 1000)</f>
        <v>82.67469723</v>
      </c>
      <c r="F24" s="16">
        <f>'04_LOAD_TRANSFER_ROLL_GRIP'!F52 * (F8 / 1000)</f>
        <v>83.40349582</v>
      </c>
      <c r="G24" s="12" t="s">
        <v>62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1:G1"/>
    <mergeCell ref="A4:G4"/>
    <mergeCell ref="A12:G12"/>
    <mergeCell ref="A18:G18"/>
    <mergeCell ref="A22:G22"/>
  </mergeCells>
  <printOptions/>
  <pageMargins left="0.75" right="0.75" top="1" bottom="1" header="0.0" footer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G1000"/>
  <sheetViews>
    <sheetView showGridLines="false" workbookViewId="0"/>
  </sheetViews>
  <sheetFormatPr defaultColWidth="12.63" defaultRowHeight="15.75" customHeight="true"/>
  <cols>
    <col min="1" max="1" width="54.25" customWidth="true"/>
    <col min="2" max="2" width="17.5" customWidth="true"/>
    <col min="3" max="3" width="12.25" customWidth="true"/>
    <col min="4" max="4" width="45.5" customWidth="true"/>
    <col min="5" max="6" width="24.5" customWidth="true"/>
    <col min="7" max="7" width="34.13" customWidth="true"/>
    <col min="8" max="26" width="7.63" customWidth="true"/>
  </cols>
  <sheetData>
    <row r="1">
      <c r="A1" s="1" t="s">
        <v>133</v>
      </c>
      <c r="B1" s="2"/>
      <c r="C1" s="2"/>
      <c r="D1" s="2"/>
      <c r="E1" s="2"/>
      <c r="F1" s="2"/>
      <c r="G1" s="3"/>
    </row>
    <row r="3">
      <c r="A3" s="5" t="s">
        <v>4</v>
      </c>
      <c r="B3" s="5" t="s">
        <v>7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>
      <c r="A4" s="7" t="s">
        <v>151</v>
      </c>
      <c r="B4" s="2"/>
      <c r="C4" s="2"/>
      <c r="D4" s="2"/>
      <c r="E4" s="2"/>
      <c r="F4" s="2"/>
      <c r="G4" s="3"/>
    </row>
    <row r="5">
      <c r="A5" s="8" t="s">
        <v>153</v>
      </c>
      <c r="B5" s="9" t="s">
        <v>155</v>
      </c>
      <c r="C5" s="10" t="s">
        <v>159</v>
      </c>
      <c r="D5" s="6" t="s">
        <v>163</v>
      </c>
      <c r="E5" s="14">
        <f>'02_INPUT_VARIABLES'!E5 * '02_INPUT_VARIABLES'!E4</f>
        <v>2200.383</v>
      </c>
      <c r="F5" s="16">
        <f>'02_INPUT_VARIABLES'!F5 * '02_INPUT_VARIABLES'!F4</f>
        <v>2200.383</v>
      </c>
      <c r="G5" s="12" t="s">
        <v>176</v>
      </c>
    </row>
    <row r="6">
      <c r="A6" s="8" t="s">
        <v>177</v>
      </c>
      <c r="B6" s="9" t="s">
        <v>178</v>
      </c>
      <c r="C6" s="10" t="s">
        <v>159</v>
      </c>
      <c r="D6" s="6" t="s">
        <v>180</v>
      </c>
      <c r="E6" s="14">
        <f>E5 * '02_INPUT_VARIABLES'!E6</f>
        <v>1100.1915</v>
      </c>
      <c r="F6" s="16">
        <f>F5 * '02_INPUT_VARIABLES'!F6</f>
        <v>990.17235</v>
      </c>
      <c r="G6" s="12" t="s">
        <v>176</v>
      </c>
    </row>
    <row r="7">
      <c r="A7" s="8" t="s">
        <v>206</v>
      </c>
      <c r="B7" s="9" t="s">
        <v>207</v>
      </c>
      <c r="C7" s="10" t="s">
        <v>159</v>
      </c>
      <c r="D7" s="6" t="s">
        <v>209</v>
      </c>
      <c r="E7" s="14">
        <f>E5 * (1 - '02_INPUT_VARIABLES'!E6)</f>
        <v>1100.1915</v>
      </c>
      <c r="F7" s="16">
        <f>F5 * (1 - '02_INPUT_VARIABLES'!F6)</f>
        <v>1210.21065</v>
      </c>
      <c r="G7" s="12" t="s">
        <v>176</v>
      </c>
    </row>
    <row r="8">
      <c r="A8" s="8" t="s">
        <v>220</v>
      </c>
      <c r="B8" s="9" t="s">
        <v>221</v>
      </c>
      <c r="C8" s="10" t="s">
        <v>87</v>
      </c>
      <c r="D8" s="6" t="s">
        <v>222</v>
      </c>
      <c r="E8" s="19">
        <f>'02_INPUT_VARIABLES'!E10 / '02_INPUT_VARIABLES'!E9</f>
        <v>0.95</v>
      </c>
      <c r="F8" s="21">
        <f>'02_INPUT_VARIABLES'!F10 / '02_INPUT_VARIABLES'!F9</f>
        <v>0.890625</v>
      </c>
      <c r="G8" s="12" t="s">
        <v>238</v>
      </c>
    </row>
    <row r="9">
      <c r="A9" s="8" t="s">
        <v>239</v>
      </c>
      <c r="B9" s="9" t="s">
        <v>240</v>
      </c>
      <c r="C9" s="10" t="s">
        <v>159</v>
      </c>
      <c r="D9" s="6" t="s">
        <v>241</v>
      </c>
      <c r="E9" s="14">
        <f t="shared" ref="E9:F9" si="1">E6 / 2</f>
        <v>550.09575</v>
      </c>
      <c r="F9" s="16">
        <f t="shared" si="1"/>
        <v>495.086175</v>
      </c>
      <c r="G9" s="12" t="s">
        <v>176</v>
      </c>
    </row>
    <row r="10">
      <c r="A10" s="8" t="s">
        <v>250</v>
      </c>
      <c r="B10" s="9" t="s">
        <v>251</v>
      </c>
      <c r="C10" s="10" t="s">
        <v>159</v>
      </c>
      <c r="D10" s="6" t="s">
        <v>253</v>
      </c>
      <c r="E10" s="14">
        <f t="shared" ref="E10:F10" si="2">E7 / 2</f>
        <v>550.09575</v>
      </c>
      <c r="F10" s="16">
        <f t="shared" si="2"/>
        <v>605.105325</v>
      </c>
      <c r="G10" s="12" t="s">
        <v>176</v>
      </c>
    </row>
    <row r="11">
      <c r="A11" s="8" t="s">
        <v>261</v>
      </c>
      <c r="B11" s="9" t="s">
        <v>262</v>
      </c>
      <c r="C11" s="10" t="s">
        <v>33</v>
      </c>
      <c r="D11" s="6" t="s">
        <v>263</v>
      </c>
      <c r="E11" s="14">
        <f>'02_INPUT_VARIABLES'!E5 - '02_INPUT_VARIABLES'!E7 - '02_INPUT_VARIABLES'!E8</f>
        <v>169.8</v>
      </c>
      <c r="F11" s="16">
        <f>'02_INPUT_VARIABLES'!F5 - '02_INPUT_VARIABLES'!F7 - '02_INPUT_VARIABLES'!F8</f>
        <v>169.8</v>
      </c>
      <c r="G11" s="12" t="s">
        <v>176</v>
      </c>
    </row>
    <row r="12">
      <c r="A12" s="8" t="s">
        <v>264</v>
      </c>
      <c r="B12" s="9" t="s">
        <v>265</v>
      </c>
      <c r="C12" s="10" t="s">
        <v>26</v>
      </c>
      <c r="D12" s="6" t="s">
        <v>267</v>
      </c>
      <c r="E12" s="14">
        <f>('02_INPUT_VARIABLES'!E5*'02_INPUT_VARIABLES'!E12 - '02_INPUT_VARIABLES'!E7*'02_INPUT_VARIABLES'!E13 - '02_INPUT_VARIABLES'!E8*'02_INPUT_VARIABLES'!E14) / E11</f>
        <v>322.467609</v>
      </c>
      <c r="F12" s="16">
        <f>('02_INPUT_VARIABLES'!F5*'02_INPUT_VARIABLES'!F12 - '02_INPUT_VARIABLES'!F7*'02_INPUT_VARIABLES'!F13 - '02_INPUT_VARIABLES'!F8*'02_INPUT_VARIABLES'!F14) / F11</f>
        <v>322.467609</v>
      </c>
      <c r="G12" s="12" t="s">
        <v>276</v>
      </c>
    </row>
    <row r="13">
      <c r="A13" s="7" t="s">
        <v>277</v>
      </c>
      <c r="B13" s="2"/>
      <c r="C13" s="2"/>
      <c r="D13" s="2"/>
      <c r="E13" s="2"/>
      <c r="F13" s="2"/>
      <c r="G13" s="3"/>
    </row>
    <row r="14">
      <c r="A14" s="8" t="s">
        <v>278</v>
      </c>
      <c r="B14" s="9" t="s">
        <v>279</v>
      </c>
      <c r="C14" s="10" t="s">
        <v>169</v>
      </c>
      <c r="D14" s="6" t="s">
        <v>280</v>
      </c>
      <c r="E14" s="14">
        <f>'02_INPUT_VARIABLES'!E37 * ('02_INPUT_VARIABLES'!E38^2)</f>
        <v>42.96824</v>
      </c>
      <c r="F14" s="16">
        <f>'02_INPUT_VARIABLES'!F37 * ('02_INPUT_VARIABLES'!F38^2)</f>
        <v>42.96824</v>
      </c>
      <c r="G14" s="12" t="s">
        <v>286</v>
      </c>
    </row>
    <row r="15">
      <c r="A15" s="8" t="s">
        <v>287</v>
      </c>
      <c r="B15" s="9" t="s">
        <v>288</v>
      </c>
      <c r="C15" s="10" t="s">
        <v>169</v>
      </c>
      <c r="D15" s="6" t="s">
        <v>289</v>
      </c>
      <c r="E15" s="14">
        <f>'02_INPUT_VARIABLES'!E40 * ('02_INPUT_VARIABLES'!E41^2)</f>
        <v>21.8435</v>
      </c>
      <c r="F15" s="16">
        <f>'02_INPUT_VARIABLES'!F40 * ('02_INPUT_VARIABLES'!F41^2)</f>
        <v>21.8435</v>
      </c>
      <c r="G15" s="12" t="s">
        <v>286</v>
      </c>
    </row>
    <row r="16">
      <c r="A16" s="8" t="s">
        <v>290</v>
      </c>
      <c r="B16" s="9" t="s">
        <v>200</v>
      </c>
      <c r="C16" s="10" t="s">
        <v>169</v>
      </c>
      <c r="D16" s="6" t="s">
        <v>28</v>
      </c>
      <c r="E16" s="14">
        <f>'02_INPUT_VARIABLES'!E44</f>
        <v>115</v>
      </c>
      <c r="F16" s="16">
        <f>'02_INPUT_VARIABLES'!F44</f>
        <v>110</v>
      </c>
      <c r="G16" s="12" t="s">
        <v>291</v>
      </c>
    </row>
    <row r="17">
      <c r="A17" s="8" t="s">
        <v>292</v>
      </c>
      <c r="B17" s="9" t="s">
        <v>219</v>
      </c>
      <c r="C17" s="10" t="s">
        <v>169</v>
      </c>
      <c r="D17" s="6" t="s">
        <v>28</v>
      </c>
      <c r="E17" s="14">
        <f>'02_INPUT_VARIABLES'!E49</f>
        <v>120</v>
      </c>
      <c r="F17" s="16">
        <f>'02_INPUT_VARIABLES'!F49</f>
        <v>110</v>
      </c>
      <c r="G17" s="12" t="s">
        <v>291</v>
      </c>
    </row>
    <row r="18">
      <c r="A18" s="8" t="s">
        <v>293</v>
      </c>
      <c r="B18" s="9" t="s">
        <v>294</v>
      </c>
      <c r="C18" s="10" t="s">
        <v>169</v>
      </c>
      <c r="D18" s="6" t="s">
        <v>295</v>
      </c>
      <c r="E18" s="14">
        <f t="shared" ref="E18:F18" si="3">(E14 * E16) / (E14 + E16)</f>
        <v>31.2806397</v>
      </c>
      <c r="F18" s="16">
        <f t="shared" si="3"/>
        <v>30.89861268</v>
      </c>
      <c r="G18" s="12" t="s">
        <v>286</v>
      </c>
    </row>
    <row r="19">
      <c r="A19" s="8" t="s">
        <v>296</v>
      </c>
      <c r="B19" s="9" t="s">
        <v>297</v>
      </c>
      <c r="C19" s="10" t="s">
        <v>169</v>
      </c>
      <c r="D19" s="6" t="s">
        <v>298</v>
      </c>
      <c r="E19" s="14">
        <f t="shared" ref="E19:F19" si="4">(E15 * E17) / (E15 + E17)</f>
        <v>18.47966244</v>
      </c>
      <c r="F19" s="16">
        <f t="shared" si="4"/>
        <v>18.22452377</v>
      </c>
      <c r="G19" s="12" t="s">
        <v>286</v>
      </c>
    </row>
    <row r="20">
      <c r="A20" s="8" t="s">
        <v>299</v>
      </c>
      <c r="B20" s="9" t="s">
        <v>300</v>
      </c>
      <c r="C20" s="10" t="s">
        <v>183</v>
      </c>
      <c r="D20" s="6" t="s">
        <v>301</v>
      </c>
      <c r="E20" s="14">
        <f>('02_INPUT_VARIABLES'!E9^2 * E18)/114600 + '02_INPUT_VARIABLES'!E39</f>
        <v>393.0551586</v>
      </c>
      <c r="F20" s="16">
        <f>('02_INPUT_VARIABLES'!F9^2 * F18)/114600 + '02_INPUT_VARIABLES'!F39</f>
        <v>441.7477052</v>
      </c>
      <c r="G20" s="12" t="s">
        <v>302</v>
      </c>
    </row>
    <row r="21">
      <c r="A21" s="8" t="s">
        <v>303</v>
      </c>
      <c r="B21" s="9" t="s">
        <v>304</v>
      </c>
      <c r="C21" s="10" t="s">
        <v>183</v>
      </c>
      <c r="D21" s="6" t="s">
        <v>305</v>
      </c>
      <c r="E21" s="14">
        <f>('02_INPUT_VARIABLES'!E10^2 * E19)/114600 + '02_INPUT_VARIABLES'!E42</f>
        <v>209.5651773</v>
      </c>
      <c r="F21" s="16">
        <f>('02_INPUT_VARIABLES'!F10^2 * F19)/114600 + '02_INPUT_VARIABLES'!F42</f>
        <v>206.6718246</v>
      </c>
      <c r="G21" s="12" t="s">
        <v>302</v>
      </c>
    </row>
    <row r="22">
      <c r="A22" s="8" t="s">
        <v>306</v>
      </c>
      <c r="B22" s="9" t="s">
        <v>307</v>
      </c>
      <c r="C22" s="10" t="s">
        <v>183</v>
      </c>
      <c r="D22" s="6" t="s">
        <v>308</v>
      </c>
      <c r="E22" s="14">
        <f t="shared" ref="E22:F22" si="5">E20 + E21</f>
        <v>602.6203358</v>
      </c>
      <c r="F22" s="16">
        <f t="shared" si="5"/>
        <v>648.4195297</v>
      </c>
      <c r="G22" s="12" t="s">
        <v>302</v>
      </c>
    </row>
    <row r="23">
      <c r="A23" s="7" t="s">
        <v>309</v>
      </c>
      <c r="B23" s="2"/>
      <c r="C23" s="2"/>
      <c r="D23" s="2"/>
      <c r="E23" s="2"/>
      <c r="F23" s="2"/>
      <c r="G23" s="3"/>
    </row>
    <row r="24">
      <c r="A24" s="8" t="s">
        <v>310</v>
      </c>
      <c r="B24" s="9" t="s">
        <v>311</v>
      </c>
      <c r="C24" s="10" t="s">
        <v>26</v>
      </c>
      <c r="D24" s="6" t="s">
        <v>312</v>
      </c>
      <c r="E24" s="14">
        <f>'02_INPUT_VARIABLES'!E15 + ('02_INPUT_VARIABLES'!E16 - '02_INPUT_VARIABLES'!E15)*(1 - '02_INPUT_VARIABLES'!E6)</f>
        <v>22.5</v>
      </c>
      <c r="F24" s="16">
        <f>'02_INPUT_VARIABLES'!F15 + ('02_INPUT_VARIABLES'!F16 - '02_INPUT_VARIABLES'!F15)*(1 - '02_INPUT_VARIABLES'!F6)</f>
        <v>23.75</v>
      </c>
      <c r="G24" s="12" t="s">
        <v>313</v>
      </c>
    </row>
    <row r="25">
      <c r="A25" s="8" t="s">
        <v>314</v>
      </c>
      <c r="B25" s="9" t="s">
        <v>315</v>
      </c>
      <c r="C25" s="10" t="s">
        <v>26</v>
      </c>
      <c r="D25" s="6" t="s">
        <v>316</v>
      </c>
      <c r="E25" s="14">
        <f t="shared" ref="E25:F25" si="6">E12 - E24</f>
        <v>299.967609</v>
      </c>
      <c r="F25" s="16">
        <f t="shared" si="6"/>
        <v>298.717609</v>
      </c>
      <c r="G25" s="12" t="s">
        <v>318</v>
      </c>
    </row>
    <row r="26">
      <c r="A26" s="8" t="s">
        <v>319</v>
      </c>
      <c r="B26" s="9" t="s">
        <v>320</v>
      </c>
      <c r="C26" s="10" t="s">
        <v>284</v>
      </c>
      <c r="D26" s="6" t="s">
        <v>321</v>
      </c>
      <c r="E26" s="14">
        <f>E11 * '02_INPUT_VARIABLES'!E4 * '02_INPUT_VARIABLES'!E58 * (E25 / 1000)</f>
        <v>849.4346565</v>
      </c>
      <c r="F26" s="16">
        <f>F11 * '02_INPUT_VARIABLES'!F4 * '02_INPUT_VARIABLES'!F58 * (F25 / 1000)</f>
        <v>845.8949633</v>
      </c>
      <c r="G26" s="12" t="s">
        <v>176</v>
      </c>
    </row>
    <row r="27">
      <c r="A27" s="8" t="s">
        <v>322</v>
      </c>
      <c r="B27" s="9" t="s">
        <v>323</v>
      </c>
      <c r="C27" s="10" t="s">
        <v>324</v>
      </c>
      <c r="D27" s="6" t="s">
        <v>325</v>
      </c>
      <c r="E27" s="19">
        <f>E26 / E22 / '02_INPUT_VARIABLES'!E58</f>
        <v>0.8291579545</v>
      </c>
      <c r="F27" s="21">
        <f>F26 / F22 / '02_INPUT_VARIABLES'!F58</f>
        <v>0.7673816868</v>
      </c>
      <c r="G27" s="12" t="s">
        <v>302</v>
      </c>
    </row>
    <row r="28">
      <c r="A28" s="8" t="s">
        <v>327</v>
      </c>
      <c r="B28" s="9" t="s">
        <v>328</v>
      </c>
      <c r="C28" s="10" t="s">
        <v>65</v>
      </c>
      <c r="D28" s="6" t="s">
        <v>329</v>
      </c>
      <c r="E28" s="19">
        <f>E27 * '02_INPUT_VARIABLES'!E58</f>
        <v>1.409568523</v>
      </c>
      <c r="F28" s="21">
        <f>F27 * '02_INPUT_VARIABLES'!F58</f>
        <v>1.304548868</v>
      </c>
      <c r="G28" s="12" t="s">
        <v>302</v>
      </c>
    </row>
    <row r="29">
      <c r="A29" s="7" t="s">
        <v>332</v>
      </c>
      <c r="B29" s="2"/>
      <c r="C29" s="2"/>
      <c r="D29" s="2"/>
      <c r="E29" s="2"/>
      <c r="F29" s="2"/>
      <c r="G29" s="3"/>
    </row>
    <row r="30">
      <c r="A30" s="8" t="s">
        <v>334</v>
      </c>
      <c r="B30" s="9" t="s">
        <v>335</v>
      </c>
      <c r="C30" s="10" t="s">
        <v>159</v>
      </c>
      <c r="D30" s="6" t="s">
        <v>336</v>
      </c>
      <c r="E30" s="14">
        <f>'02_INPUT_VARIABLES'!E58 * '02_INPUT_VARIABLES'!E7 * '02_INPUT_VARIABLES'!E4 * ('02_INPUT_VARIABLES'!E13 / '02_INPUT_VARIABLES'!E9)</f>
        <v>77.99277</v>
      </c>
      <c r="F30" s="16">
        <f>'02_INPUT_VARIABLES'!F58 * '02_INPUT_VARIABLES'!F7 * '02_INPUT_VARIABLES'!F4 * ('02_INPUT_VARIABLES'!F13 / '02_INPUT_VARIABLES'!F9)</f>
        <v>73.11822188</v>
      </c>
      <c r="G30" s="12" t="s">
        <v>374</v>
      </c>
    </row>
    <row r="31">
      <c r="A31" s="8" t="s">
        <v>375</v>
      </c>
      <c r="B31" s="9" t="s">
        <v>376</v>
      </c>
      <c r="C31" s="10" t="s">
        <v>159</v>
      </c>
      <c r="D31" s="6" t="s">
        <v>377</v>
      </c>
      <c r="E31" s="14">
        <f>'02_INPUT_VARIABLES'!E58 * E11 * '02_INPUT_VARIABLES'!E4 * '02_INPUT_VARIABLES'!E6 * ('02_INPUT_VARIABLES'!E15 / '02_INPUT_VARIABLES'!E9)</f>
        <v>11.7989775</v>
      </c>
      <c r="F31" s="16">
        <f>'02_INPUT_VARIABLES'!F58 * F11 * '02_INPUT_VARIABLES'!F4 * '02_INPUT_VARIABLES'!F6 * ('02_INPUT_VARIABLES'!F15 / '02_INPUT_VARIABLES'!F9)</f>
        <v>9.955387266</v>
      </c>
      <c r="G31" s="12" t="s">
        <v>387</v>
      </c>
    </row>
    <row r="32">
      <c r="A32" s="8" t="s">
        <v>388</v>
      </c>
      <c r="B32" s="9" t="s">
        <v>389</v>
      </c>
      <c r="C32" s="10" t="s">
        <v>159</v>
      </c>
      <c r="D32" s="6" t="s">
        <v>390</v>
      </c>
      <c r="E32" s="14">
        <f>(E20 / E22) * E26 / ('02_INPUT_VARIABLES'!E9 / 1000)</f>
        <v>461.6984827</v>
      </c>
      <c r="F32" s="16">
        <f>(F20 / F22) * F26 / ('02_INPUT_VARIABLES'!F9 / 1000)</f>
        <v>450.2198973</v>
      </c>
      <c r="G32" s="12" t="s">
        <v>396</v>
      </c>
    </row>
    <row r="33">
      <c r="A33" s="8" t="s">
        <v>399</v>
      </c>
      <c r="B33" s="9" t="s">
        <v>340</v>
      </c>
      <c r="C33" s="10" t="s">
        <v>159</v>
      </c>
      <c r="D33" s="6" t="s">
        <v>401</v>
      </c>
      <c r="E33" s="14">
        <f t="shared" ref="E33:F33" si="7">E30 + E31 + E32</f>
        <v>551.4902302</v>
      </c>
      <c r="F33" s="16">
        <f t="shared" si="7"/>
        <v>533.2935064</v>
      </c>
      <c r="G33" s="12" t="s">
        <v>176</v>
      </c>
    </row>
    <row r="34">
      <c r="A34" s="8" t="s">
        <v>402</v>
      </c>
      <c r="B34" s="9" t="s">
        <v>403</v>
      </c>
      <c r="C34" s="10" t="s">
        <v>37</v>
      </c>
      <c r="D34" s="6" t="s">
        <v>404</v>
      </c>
      <c r="E34" s="67">
        <f t="shared" ref="E34:F34" si="8">E33 / E6</f>
        <v>0.5012674886</v>
      </c>
      <c r="F34" s="68">
        <f t="shared" si="8"/>
        <v>0.5385865465</v>
      </c>
      <c r="G34" s="12" t="s">
        <v>409</v>
      </c>
    </row>
    <row r="35">
      <c r="A35" s="8" t="s">
        <v>410</v>
      </c>
      <c r="B35" s="9" t="s">
        <v>411</v>
      </c>
      <c r="C35" s="10" t="s">
        <v>159</v>
      </c>
      <c r="D35" s="6" t="s">
        <v>412</v>
      </c>
      <c r="E35" s="14">
        <f>'02_INPUT_VARIABLES'!E58 * '02_INPUT_VARIABLES'!E8 * '02_INPUT_VARIABLES'!E4 * ('02_INPUT_VARIABLES'!E14 / '02_INPUT_VARIABLES'!E10)</f>
        <v>101.2762026</v>
      </c>
      <c r="F35" s="16">
        <f>'02_INPUT_VARIABLES'!F58 * '02_INPUT_VARIABLES'!F8 * '02_INPUT_VARIABLES'!F4 * ('02_INPUT_VARIABLES'!F14 / '02_INPUT_VARIABLES'!F10)</f>
        <v>101.2762026</v>
      </c>
      <c r="G35" s="12" t="s">
        <v>176</v>
      </c>
    </row>
    <row r="36">
      <c r="A36" s="8" t="s">
        <v>426</v>
      </c>
      <c r="B36" s="9" t="s">
        <v>428</v>
      </c>
      <c r="C36" s="10" t="s">
        <v>159</v>
      </c>
      <c r="D36" s="6" t="s">
        <v>429</v>
      </c>
      <c r="E36" s="14">
        <f>'02_INPUT_VARIABLES'!E58 * E11 * '02_INPUT_VARIABLES'!E4 * (1 - '02_INPUT_VARIABLES'!E6) * ('02_INPUT_VARIABLES'!E16 / '02_INPUT_VARIABLES'!E10)</f>
        <v>43.46991711</v>
      </c>
      <c r="F36" s="16">
        <f>'02_INPUT_VARIABLES'!F58 * F11 * '02_INPUT_VARIABLES'!F4 * (1 - '02_INPUT_VARIABLES'!F6) * ('02_INPUT_VARIABLES'!F16 / '02_INPUT_VARIABLES'!F10)</f>
        <v>47.81690882</v>
      </c>
      <c r="G36" s="12" t="s">
        <v>176</v>
      </c>
    </row>
    <row r="37">
      <c r="A37" s="8" t="s">
        <v>432</v>
      </c>
      <c r="B37" s="9" t="s">
        <v>433</v>
      </c>
      <c r="C37" s="10" t="s">
        <v>159</v>
      </c>
      <c r="D37" s="6" t="s">
        <v>435</v>
      </c>
      <c r="E37" s="14">
        <f>(E21 / E22) * E26 / ('02_INPUT_VARIABLES'!E10 / 1000)</f>
        <v>259.1197169</v>
      </c>
      <c r="F37" s="16">
        <f>(F21 / F22) * F26 / ('02_INPUT_VARIABLES'!F10 / 1000)</f>
        <v>236.5030655</v>
      </c>
      <c r="G37" s="12" t="s">
        <v>176</v>
      </c>
    </row>
    <row r="38">
      <c r="A38" s="8" t="s">
        <v>443</v>
      </c>
      <c r="B38" s="9" t="s">
        <v>348</v>
      </c>
      <c r="C38" s="10" t="s">
        <v>159</v>
      </c>
      <c r="D38" s="6" t="s">
        <v>444</v>
      </c>
      <c r="E38" s="14">
        <f t="shared" ref="E38:F38" si="9">E35 + E36 + E37</f>
        <v>403.8658367</v>
      </c>
      <c r="F38" s="16">
        <f t="shared" si="9"/>
        <v>385.596177</v>
      </c>
      <c r="G38" s="12" t="s">
        <v>176</v>
      </c>
    </row>
    <row r="39">
      <c r="A39" s="8" t="s">
        <v>446</v>
      </c>
      <c r="B39" s="9" t="s">
        <v>447</v>
      </c>
      <c r="C39" s="10" t="s">
        <v>37</v>
      </c>
      <c r="D39" s="6" t="s">
        <v>448</v>
      </c>
      <c r="E39" s="67">
        <f t="shared" ref="E39:F39" si="10">E38 / E7</f>
        <v>0.3670868541</v>
      </c>
      <c r="F39" s="68">
        <f t="shared" si="10"/>
        <v>0.3186190577</v>
      </c>
      <c r="G39" s="12" t="s">
        <v>409</v>
      </c>
    </row>
    <row r="40">
      <c r="A40" s="8" t="s">
        <v>449</v>
      </c>
      <c r="B40" s="9" t="s">
        <v>353</v>
      </c>
      <c r="C40" s="10" t="s">
        <v>159</v>
      </c>
      <c r="D40" s="6" t="s">
        <v>450</v>
      </c>
      <c r="E40" s="14">
        <f t="shared" ref="E40:F40" si="11">E33 + E38</f>
        <v>955.3560668</v>
      </c>
      <c r="F40" s="16">
        <f t="shared" si="11"/>
        <v>918.8896834</v>
      </c>
      <c r="G40" s="12" t="s">
        <v>176</v>
      </c>
    </row>
    <row r="41">
      <c r="A41" s="7" t="s">
        <v>451</v>
      </c>
      <c r="B41" s="2"/>
      <c r="C41" s="2"/>
      <c r="D41" s="2"/>
      <c r="E41" s="2"/>
      <c r="F41" s="2"/>
      <c r="G41" s="3"/>
    </row>
    <row r="42">
      <c r="A42" s="8" t="s">
        <v>452</v>
      </c>
      <c r="B42" s="9" t="s">
        <v>453</v>
      </c>
      <c r="C42" s="10" t="s">
        <v>159</v>
      </c>
      <c r="D42" s="6" t="s">
        <v>454</v>
      </c>
      <c r="E42" s="14">
        <f t="shared" ref="E42:F42" si="12">E9 + E33</f>
        <v>1101.58598</v>
      </c>
      <c r="F42" s="16">
        <f t="shared" si="12"/>
        <v>1028.379681</v>
      </c>
      <c r="G42" s="12" t="s">
        <v>409</v>
      </c>
    </row>
    <row r="43">
      <c r="A43" s="8" t="s">
        <v>356</v>
      </c>
      <c r="B43" s="9" t="s">
        <v>357</v>
      </c>
      <c r="C43" s="10" t="s">
        <v>159</v>
      </c>
      <c r="D43" s="6" t="s">
        <v>455</v>
      </c>
      <c r="E43" s="14">
        <f t="shared" ref="E43:F43" si="13">E9 - E33</f>
        <v>-1.394480164</v>
      </c>
      <c r="F43" s="16">
        <f t="shared" si="13"/>
        <v>-38.20733145</v>
      </c>
      <c r="G43" s="12" t="s">
        <v>409</v>
      </c>
    </row>
    <row r="44">
      <c r="A44" s="8" t="s">
        <v>456</v>
      </c>
      <c r="B44" s="9" t="s">
        <v>457</v>
      </c>
      <c r="C44" s="10" t="s">
        <v>159</v>
      </c>
      <c r="D44" s="6" t="s">
        <v>458</v>
      </c>
      <c r="E44" s="14">
        <f t="shared" ref="E44:F44" si="14">E10 + E38</f>
        <v>953.9615867</v>
      </c>
      <c r="F44" s="16">
        <f t="shared" si="14"/>
        <v>990.701502</v>
      </c>
      <c r="G44" s="12" t="s">
        <v>409</v>
      </c>
    </row>
    <row r="45">
      <c r="A45" s="8" t="s">
        <v>459</v>
      </c>
      <c r="B45" s="9" t="s">
        <v>460</v>
      </c>
      <c r="C45" s="10" t="s">
        <v>159</v>
      </c>
      <c r="D45" s="6" t="s">
        <v>461</v>
      </c>
      <c r="E45" s="14">
        <f t="shared" ref="E45:F45" si="15">E10 - E38</f>
        <v>146.2299133</v>
      </c>
      <c r="F45" s="16">
        <f t="shared" si="15"/>
        <v>219.509148</v>
      </c>
      <c r="G45" s="12" t="s">
        <v>409</v>
      </c>
    </row>
    <row r="46">
      <c r="A46" s="8" t="s">
        <v>462</v>
      </c>
      <c r="B46" s="9" t="s">
        <v>463</v>
      </c>
      <c r="C46" s="10" t="s">
        <v>87</v>
      </c>
      <c r="D46" s="6" t="s">
        <v>464</v>
      </c>
      <c r="E46" s="19">
        <f>'02_INPUT_VARIABLES'!E45 + '02_INPUT_VARIABLES'!E46 * (E42 - '02_INPUT_VARIABLES'!E47)</f>
        <v>1.409365608</v>
      </c>
      <c r="F46" s="21">
        <f>'02_INPUT_VARIABLES'!F45 + '02_INPUT_VARIABLES'!F46 * (F42 - '02_INPUT_VARIABLES'!F47)</f>
        <v>1.591486096</v>
      </c>
      <c r="G46" s="12" t="s">
        <v>465</v>
      </c>
    </row>
    <row r="47">
      <c r="A47" s="8" t="s">
        <v>466</v>
      </c>
      <c r="B47" s="9" t="s">
        <v>467</v>
      </c>
      <c r="C47" s="10" t="s">
        <v>87</v>
      </c>
      <c r="D47" s="6" t="s">
        <v>468</v>
      </c>
      <c r="E47" s="19">
        <f>'02_INPUT_VARIABLES'!E45 + '02_INPUT_VARIABLES'!E46 * (E43 - '02_INPUT_VARIABLES'!E47)</f>
        <v>1.850557792</v>
      </c>
      <c r="F47" s="21">
        <f>'02_INPUT_VARIABLES'!F45 + '02_INPUT_VARIABLES'!F46 * (F43 - '02_INPUT_VARIABLES'!F47)</f>
        <v>1.911462199</v>
      </c>
      <c r="G47" s="12" t="s">
        <v>465</v>
      </c>
    </row>
    <row r="48">
      <c r="A48" s="8" t="s">
        <v>469</v>
      </c>
      <c r="B48" s="9" t="s">
        <v>470</v>
      </c>
      <c r="C48" s="10" t="s">
        <v>87</v>
      </c>
      <c r="D48" s="6" t="s">
        <v>471</v>
      </c>
      <c r="E48" s="19">
        <f>'02_INPUT_VARIABLES'!E50 + '02_INPUT_VARIABLES'!E51 * (E44 - '02_INPUT_VARIABLES'!E52)</f>
        <v>1.391113445</v>
      </c>
      <c r="F48" s="21">
        <f>'02_INPUT_VARIABLES'!F50 + '02_INPUT_VARIABLES'!F51 * (F44 - '02_INPUT_VARIABLES'!F52)</f>
        <v>1.602789549</v>
      </c>
      <c r="G48" s="12" t="s">
        <v>465</v>
      </c>
    </row>
    <row r="49">
      <c r="A49" s="8" t="s">
        <v>472</v>
      </c>
      <c r="B49" s="9" t="s">
        <v>473</v>
      </c>
      <c r="C49" s="10" t="s">
        <v>87</v>
      </c>
      <c r="D49" s="6" t="s">
        <v>474</v>
      </c>
      <c r="E49" s="19">
        <f>'02_INPUT_VARIABLES'!E50 + '02_INPUT_VARIABLES'!E51 * (E45 - '02_INPUT_VARIABLES'!E52)</f>
        <v>1.67381953</v>
      </c>
      <c r="F49" s="21">
        <f>'02_INPUT_VARIABLES'!F50 + '02_INPUT_VARIABLES'!F51 * (F45 - '02_INPUT_VARIABLES'!F52)</f>
        <v>1.834147256</v>
      </c>
      <c r="G49" s="12" t="s">
        <v>465</v>
      </c>
    </row>
    <row r="50">
      <c r="A50" s="8" t="s">
        <v>475</v>
      </c>
      <c r="B50" s="9" t="s">
        <v>476</v>
      </c>
      <c r="C50" s="10" t="s">
        <v>159</v>
      </c>
      <c r="D50" s="6" t="s">
        <v>477</v>
      </c>
      <c r="E50" s="14">
        <f t="shared" ref="E50:F50" si="16">E42 * E46</f>
        <v>1552.537395</v>
      </c>
      <c r="F50" s="16">
        <f t="shared" si="16"/>
        <v>1636.651964</v>
      </c>
      <c r="G50" s="12" t="s">
        <v>478</v>
      </c>
    </row>
    <row r="51">
      <c r="A51" s="8" t="s">
        <v>479</v>
      </c>
      <c r="B51" s="9" t="s">
        <v>480</v>
      </c>
      <c r="C51" s="10" t="s">
        <v>159</v>
      </c>
      <c r="D51" s="6" t="s">
        <v>481</v>
      </c>
      <c r="E51" s="14">
        <f t="shared" ref="E51:F51" si="17">E43 * E47</f>
        <v>-2.580566133</v>
      </c>
      <c r="F51" s="16">
        <f t="shared" si="17"/>
        <v>-73.03186981</v>
      </c>
      <c r="G51" s="12" t="s">
        <v>478</v>
      </c>
    </row>
    <row r="52">
      <c r="A52" s="8" t="s">
        <v>482</v>
      </c>
      <c r="B52" s="9" t="s">
        <v>364</v>
      </c>
      <c r="C52" s="10" t="s">
        <v>159</v>
      </c>
      <c r="D52" s="6" t="s">
        <v>483</v>
      </c>
      <c r="E52" s="14">
        <f t="shared" ref="E52:F52" si="18">E50 + E51</f>
        <v>1549.956828</v>
      </c>
      <c r="F52" s="16">
        <f t="shared" si="18"/>
        <v>1563.620094</v>
      </c>
      <c r="G52" s="12" t="s">
        <v>478</v>
      </c>
    </row>
    <row r="53">
      <c r="A53" s="8" t="s">
        <v>484</v>
      </c>
      <c r="B53" s="9" t="s">
        <v>485</v>
      </c>
      <c r="C53" s="10" t="s">
        <v>159</v>
      </c>
      <c r="D53" s="6" t="s">
        <v>486</v>
      </c>
      <c r="E53" s="14">
        <f t="shared" ref="E53:F53" si="19">E44 * E48</f>
        <v>1327.068789</v>
      </c>
      <c r="F53" s="16">
        <f t="shared" si="19"/>
        <v>1587.886014</v>
      </c>
      <c r="G53" s="12" t="s">
        <v>478</v>
      </c>
    </row>
    <row r="54">
      <c r="A54" s="8" t="s">
        <v>487</v>
      </c>
      <c r="B54" s="9" t="s">
        <v>488</v>
      </c>
      <c r="C54" s="10" t="s">
        <v>159</v>
      </c>
      <c r="D54" s="6" t="s">
        <v>489</v>
      </c>
      <c r="E54" s="14">
        <f t="shared" ref="E54:F54" si="20">E45 * E49</f>
        <v>244.7624849</v>
      </c>
      <c r="F54" s="16">
        <f t="shared" si="20"/>
        <v>402.6121014</v>
      </c>
      <c r="G54" s="12" t="s">
        <v>478</v>
      </c>
    </row>
    <row r="55">
      <c r="A55" s="8" t="s">
        <v>490</v>
      </c>
      <c r="B55" s="9" t="s">
        <v>491</v>
      </c>
      <c r="C55" s="10" t="s">
        <v>159</v>
      </c>
      <c r="D55" s="6" t="s">
        <v>492</v>
      </c>
      <c r="E55" s="14">
        <f t="shared" ref="E55:F55" si="21">E53 + E54</f>
        <v>1571.831274</v>
      </c>
      <c r="F55" s="16">
        <f t="shared" si="21"/>
        <v>1990.498115</v>
      </c>
      <c r="G55" s="12" t="s">
        <v>478</v>
      </c>
    </row>
    <row r="56">
      <c r="A56" s="8" t="s">
        <v>369</v>
      </c>
      <c r="B56" s="9" t="s">
        <v>371</v>
      </c>
      <c r="C56" s="10" t="s">
        <v>159</v>
      </c>
      <c r="D56" s="6" t="s">
        <v>493</v>
      </c>
      <c r="E56" s="14">
        <f t="shared" ref="E56:F56" si="22">E52 + E55</f>
        <v>3121.788102</v>
      </c>
      <c r="F56" s="16">
        <f t="shared" si="22"/>
        <v>3554.11821</v>
      </c>
      <c r="G56" s="12" t="s">
        <v>478</v>
      </c>
    </row>
    <row r="57">
      <c r="A57" s="7" t="s">
        <v>494</v>
      </c>
      <c r="B57" s="2"/>
      <c r="C57" s="2"/>
      <c r="D57" s="2"/>
      <c r="E57" s="2"/>
      <c r="F57" s="2"/>
      <c r="G57" s="3"/>
    </row>
    <row r="58">
      <c r="A58" s="8" t="s">
        <v>495</v>
      </c>
      <c r="B58" s="9" t="s">
        <v>496</v>
      </c>
      <c r="C58" s="10" t="s">
        <v>37</v>
      </c>
      <c r="D58" s="6" t="s">
        <v>497</v>
      </c>
      <c r="E58" s="67">
        <f t="shared" ref="E58:F58" si="23">E33 / E40</f>
        <v>0.5772614518</v>
      </c>
      <c r="F58" s="68">
        <f t="shared" si="23"/>
        <v>0.5803672803</v>
      </c>
      <c r="G58" s="12" t="s">
        <v>409</v>
      </c>
    </row>
    <row r="59">
      <c r="A59" s="8" t="s">
        <v>498</v>
      </c>
      <c r="B59" s="9" t="s">
        <v>499</v>
      </c>
      <c r="C59" s="10" t="s">
        <v>37</v>
      </c>
      <c r="D59" s="6" t="s">
        <v>500</v>
      </c>
      <c r="E59" s="67">
        <f t="shared" ref="E59:F59" si="24">E38 / E40</f>
        <v>0.4227385482</v>
      </c>
      <c r="F59" s="68">
        <f t="shared" si="24"/>
        <v>0.4196327197</v>
      </c>
      <c r="G59" s="12" t="s">
        <v>409</v>
      </c>
    </row>
    <row r="60">
      <c r="A60" s="8" t="s">
        <v>501</v>
      </c>
      <c r="B60" s="9" t="s">
        <v>383</v>
      </c>
      <c r="C60" s="10" t="s">
        <v>37</v>
      </c>
      <c r="D60" s="6" t="s">
        <v>502</v>
      </c>
      <c r="E60" s="67">
        <f>E58 - '02_INPUT_VARIABLES'!E6</f>
        <v>0.07726145184</v>
      </c>
      <c r="F60" s="68">
        <f>F58 - '02_INPUT_VARIABLES'!F6</f>
        <v>0.1303672803</v>
      </c>
      <c r="G60" s="12" t="s">
        <v>409</v>
      </c>
    </row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A1:G1"/>
    <mergeCell ref="A4:G4"/>
    <mergeCell ref="A13:G13"/>
    <mergeCell ref="A23:G23"/>
    <mergeCell ref="A29:G29"/>
    <mergeCell ref="A41:G41"/>
    <mergeCell ref="A57:G57"/>
  </mergeCells>
  <printOptions/>
  <pageMargins left="0.75" right="0.75" top="1" bottom="1" header="0.0" footer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G1000"/>
  <sheetViews>
    <sheetView showGridLines="false" workbookViewId="0"/>
  </sheetViews>
  <sheetFormatPr defaultColWidth="12.63" defaultRowHeight="15.75" customHeight="true"/>
  <cols>
    <col min="1" max="1" width="59.5" customWidth="true"/>
    <col min="2" max="2" width="17.5" customWidth="true"/>
    <col min="3" max="3" width="12.25" customWidth="true"/>
    <col min="4" max="4" width="43.75" customWidth="true"/>
    <col min="5" max="6" width="24.5" customWidth="true"/>
    <col min="7" max="7" width="30.63" customWidth="true"/>
    <col min="8" max="26" width="7.63" customWidth="true"/>
  </cols>
  <sheetData>
    <row r="1">
      <c r="A1" s="1" t="s">
        <v>330</v>
      </c>
      <c r="B1" s="2"/>
      <c r="C1" s="2"/>
      <c r="D1" s="2"/>
      <c r="E1" s="2"/>
      <c r="F1" s="2"/>
      <c r="G1" s="3"/>
    </row>
    <row r="3">
      <c r="A3" s="5" t="s">
        <v>4</v>
      </c>
      <c r="B3" s="5" t="s">
        <v>7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>
      <c r="A4" s="7" t="s">
        <v>333</v>
      </c>
      <c r="B4" s="2"/>
      <c r="C4" s="2"/>
      <c r="D4" s="2"/>
      <c r="E4" s="2"/>
      <c r="F4" s="2"/>
      <c r="G4" s="3"/>
    </row>
    <row r="5">
      <c r="A5" s="8" t="s">
        <v>306</v>
      </c>
      <c r="B5" s="9" t="s">
        <v>307</v>
      </c>
      <c r="C5" s="10" t="s">
        <v>183</v>
      </c>
      <c r="D5" s="6" t="s">
        <v>338</v>
      </c>
      <c r="E5" s="14">
        <f>'04_LOAD_TRANSFER_ROLL_GRIP'!E22</f>
        <v>602.6203358</v>
      </c>
      <c r="F5" s="16">
        <f>'04_LOAD_TRANSFER_ROLL_GRIP'!F22</f>
        <v>648.4195297</v>
      </c>
      <c r="G5" s="12" t="s">
        <v>302</v>
      </c>
    </row>
    <row r="6">
      <c r="A6" s="8" t="s">
        <v>341</v>
      </c>
      <c r="B6" s="9" t="s">
        <v>342</v>
      </c>
      <c r="C6" s="10" t="s">
        <v>183</v>
      </c>
      <c r="D6" s="6" t="s">
        <v>343</v>
      </c>
      <c r="E6" s="14">
        <f t="shared" ref="E6:F6" si="1">1.2 * E5</f>
        <v>723.144403</v>
      </c>
      <c r="F6" s="16">
        <f t="shared" si="1"/>
        <v>778.1034357</v>
      </c>
      <c r="G6" s="12" t="s">
        <v>344</v>
      </c>
    </row>
    <row r="7">
      <c r="A7" s="8" t="s">
        <v>345</v>
      </c>
      <c r="B7" s="9" t="s">
        <v>347</v>
      </c>
      <c r="C7" s="10" t="s">
        <v>87</v>
      </c>
      <c r="D7" s="6" t="s">
        <v>349</v>
      </c>
      <c r="E7" s="62">
        <f t="shared" ref="E7:F7" si="2">E6 / E5</f>
        <v>1.2</v>
      </c>
      <c r="F7" s="63">
        <f t="shared" si="2"/>
        <v>1.2</v>
      </c>
      <c r="G7" s="12" t="s">
        <v>344</v>
      </c>
    </row>
    <row r="8">
      <c r="A8" s="7" t="s">
        <v>350</v>
      </c>
      <c r="B8" s="2"/>
      <c r="C8" s="2"/>
      <c r="D8" s="2"/>
      <c r="E8" s="2"/>
      <c r="F8" s="2"/>
      <c r="G8" s="3"/>
    </row>
    <row r="9">
      <c r="A9" s="8" t="s">
        <v>352</v>
      </c>
      <c r="B9" s="9" t="s">
        <v>354</v>
      </c>
      <c r="C9" s="10" t="s">
        <v>26</v>
      </c>
      <c r="D9" s="6" t="s">
        <v>355</v>
      </c>
      <c r="E9" s="14">
        <f>'02_INPUT_VARIABLES'!E53 - 2*'02_INPUT_VARIABLES'!E54</f>
        <v>22.1</v>
      </c>
      <c r="F9" s="16">
        <f>'02_INPUT_VARIABLES'!F53 - 2*'02_INPUT_VARIABLES'!F54</f>
        <v>22.1</v>
      </c>
      <c r="G9" s="12" t="s">
        <v>358</v>
      </c>
    </row>
    <row r="10">
      <c r="A10" s="8" t="s">
        <v>359</v>
      </c>
      <c r="B10" s="9" t="s">
        <v>360</v>
      </c>
      <c r="C10" s="10" t="s">
        <v>361</v>
      </c>
      <c r="D10" s="6" t="s">
        <v>362</v>
      </c>
      <c r="E10" s="14">
        <f>PI()/4 * ('02_INPUT_VARIABLES'!E53^2 - E9^2)</f>
        <v>123.1111621</v>
      </c>
      <c r="F10" s="16">
        <f>PI()/4 * ('02_INPUT_VARIABLES'!F53^2 - F9^2)</f>
        <v>123.1111621</v>
      </c>
      <c r="G10" s="12" t="s">
        <v>358</v>
      </c>
    </row>
    <row r="11">
      <c r="A11" s="8" t="s">
        <v>365</v>
      </c>
      <c r="B11" s="9" t="s">
        <v>366</v>
      </c>
      <c r="C11" s="10" t="s">
        <v>367</v>
      </c>
      <c r="D11" s="6" t="s">
        <v>368</v>
      </c>
      <c r="E11" s="14">
        <f>PI()/64 * ('02_INPUT_VARIABLES'!E53^4 - E9^4)</f>
        <v>8722.195002</v>
      </c>
      <c r="F11" s="16">
        <f>PI()/64 * ('02_INPUT_VARIABLES'!F53^4 - F9^4)</f>
        <v>8722.195002</v>
      </c>
      <c r="G11" s="12" t="s">
        <v>358</v>
      </c>
    </row>
    <row r="12">
      <c r="A12" s="8" t="s">
        <v>370</v>
      </c>
      <c r="B12" s="9" t="s">
        <v>372</v>
      </c>
      <c r="C12" s="10" t="s">
        <v>159</v>
      </c>
      <c r="D12" s="6" t="s">
        <v>373</v>
      </c>
      <c r="E12" s="14">
        <f>('04_LOAD_TRANSFER_ROLL_GRIP'!E52 / 2) * 1.5</f>
        <v>1162.467621</v>
      </c>
      <c r="F12" s="16">
        <f>('04_LOAD_TRANSFER_ROLL_GRIP'!F52 / 2) * 1.5</f>
        <v>1172.715071</v>
      </c>
      <c r="G12" s="12" t="s">
        <v>378</v>
      </c>
    </row>
    <row r="13">
      <c r="A13" s="8" t="s">
        <v>379</v>
      </c>
      <c r="B13" s="9" t="s">
        <v>380</v>
      </c>
      <c r="C13" s="10" t="s">
        <v>159</v>
      </c>
      <c r="D13" s="6" t="s">
        <v>381</v>
      </c>
      <c r="E13" s="14">
        <f>(PI()^2 * '02_INPUT_VARIABLES'!E55 * E11) / ('02_INPUT_VARIABLES'!E17^2)</f>
        <v>189808.1992</v>
      </c>
      <c r="F13" s="16">
        <f>(PI()^2 * '02_INPUT_VARIABLES'!F55 * F11) / ('02_INPUT_VARIABLES'!F17^2)</f>
        <v>113269.2292</v>
      </c>
      <c r="G13" s="12" t="s">
        <v>378</v>
      </c>
    </row>
    <row r="14">
      <c r="A14" s="8" t="s">
        <v>384</v>
      </c>
      <c r="B14" s="9" t="s">
        <v>385</v>
      </c>
      <c r="C14" s="10" t="s">
        <v>87</v>
      </c>
      <c r="D14" s="6" t="s">
        <v>386</v>
      </c>
      <c r="E14" s="62">
        <f t="shared" ref="E14:F14" si="3">E13 / E12</f>
        <v>163.2804181</v>
      </c>
      <c r="F14" s="63">
        <f t="shared" si="3"/>
        <v>96.5871694</v>
      </c>
      <c r="G14" s="12" t="s">
        <v>391</v>
      </c>
    </row>
    <row r="15">
      <c r="A15" s="7" t="s">
        <v>392</v>
      </c>
      <c r="B15" s="2"/>
      <c r="C15" s="2"/>
      <c r="D15" s="2"/>
      <c r="E15" s="2"/>
      <c r="F15" s="2"/>
      <c r="G15" s="3"/>
    </row>
    <row r="16">
      <c r="A16" s="8" t="s">
        <v>393</v>
      </c>
      <c r="B16" s="9" t="s">
        <v>394</v>
      </c>
      <c r="C16" s="10" t="s">
        <v>159</v>
      </c>
      <c r="D16" s="6" t="s">
        <v>395</v>
      </c>
      <c r="E16" s="14">
        <f>('04_LOAD_TRANSFER_ROLL_GRIP'!E55 / 2) * 1.5</f>
        <v>1178.873455</v>
      </c>
      <c r="F16" s="16">
        <f>('04_LOAD_TRANSFER_ROLL_GRIP'!F55 / 2) * 1.5</f>
        <v>1492.873587</v>
      </c>
      <c r="G16" s="12" t="s">
        <v>378</v>
      </c>
    </row>
    <row r="17">
      <c r="A17" s="8" t="s">
        <v>397</v>
      </c>
      <c r="B17" s="9" t="s">
        <v>398</v>
      </c>
      <c r="C17" s="10" t="s">
        <v>159</v>
      </c>
      <c r="D17" s="6" t="s">
        <v>400</v>
      </c>
      <c r="E17" s="14">
        <f>(PI()^2 * '02_INPUT_VARIABLES'!E55 * E11) / ('02_INPUT_VARIABLES'!E27^2)</f>
        <v>307395.0764</v>
      </c>
      <c r="F17" s="16">
        <f>(PI()^2 * '02_INPUT_VARIABLES'!F55 * F11) / ('02_INPUT_VARIABLES'!F27^2)</f>
        <v>133518.9934</v>
      </c>
      <c r="G17" s="12" t="s">
        <v>378</v>
      </c>
    </row>
    <row r="18">
      <c r="A18" s="8" t="s">
        <v>405</v>
      </c>
      <c r="B18" s="9" t="s">
        <v>406</v>
      </c>
      <c r="C18" s="10" t="s">
        <v>87</v>
      </c>
      <c r="D18" s="6" t="s">
        <v>407</v>
      </c>
      <c r="E18" s="62">
        <f t="shared" ref="E18:F18" si="4">E17 / E16</f>
        <v>260.7532429</v>
      </c>
      <c r="F18" s="63">
        <f t="shared" si="4"/>
        <v>89.43757504</v>
      </c>
      <c r="G18" s="12" t="s">
        <v>391</v>
      </c>
    </row>
    <row r="19">
      <c r="A19" s="7" t="s">
        <v>408</v>
      </c>
      <c r="B19" s="2"/>
      <c r="C19" s="2"/>
      <c r="D19" s="2"/>
      <c r="E19" s="2"/>
      <c r="F19" s="2"/>
      <c r="G19" s="3"/>
    </row>
    <row r="20">
      <c r="A20" s="8" t="s">
        <v>413</v>
      </c>
      <c r="B20" s="9" t="s">
        <v>414</v>
      </c>
      <c r="C20" s="10" t="s">
        <v>159</v>
      </c>
      <c r="D20" s="6" t="s">
        <v>415</v>
      </c>
      <c r="E20" s="14">
        <f t="shared" ref="E20:F20" si="5">E12 * 0.45</f>
        <v>523.1104296</v>
      </c>
      <c r="F20" s="16">
        <f t="shared" si="5"/>
        <v>527.7217818</v>
      </c>
      <c r="G20" s="12" t="s">
        <v>62</v>
      </c>
    </row>
    <row r="21">
      <c r="A21" s="8" t="s">
        <v>416</v>
      </c>
      <c r="B21" s="9" t="s">
        <v>417</v>
      </c>
      <c r="C21" s="10" t="s">
        <v>246</v>
      </c>
      <c r="D21" s="6" t="s">
        <v>418</v>
      </c>
      <c r="E21" s="62">
        <f t="shared" ref="E21:F21" si="6">E20 / E10</f>
        <v>4.249090177</v>
      </c>
      <c r="F21" s="63">
        <f t="shared" si="6"/>
        <v>4.286546993</v>
      </c>
      <c r="G21" s="12" t="s">
        <v>358</v>
      </c>
    </row>
    <row r="22">
      <c r="A22" s="8" t="s">
        <v>419</v>
      </c>
      <c r="B22" s="9" t="s">
        <v>420</v>
      </c>
      <c r="C22" s="10" t="s">
        <v>87</v>
      </c>
      <c r="D22" s="6" t="s">
        <v>421</v>
      </c>
      <c r="E22" s="62">
        <f>'02_INPUT_VARIABLES'!E56 / E21</f>
        <v>77.66368475</v>
      </c>
      <c r="F22" s="63">
        <f>'02_INPUT_VARIABLES'!F56 / F21</f>
        <v>76.98504193</v>
      </c>
      <c r="G22" s="12" t="s">
        <v>422</v>
      </c>
    </row>
    <row r="23">
      <c r="A23" s="7" t="s">
        <v>423</v>
      </c>
      <c r="B23" s="2"/>
      <c r="C23" s="2"/>
      <c r="D23" s="2"/>
      <c r="E23" s="2"/>
      <c r="F23" s="2"/>
      <c r="G23" s="3"/>
    </row>
    <row r="24">
      <c r="A24" s="8" t="s">
        <v>424</v>
      </c>
      <c r="B24" s="9" t="s">
        <v>425</v>
      </c>
      <c r="C24" s="10" t="s">
        <v>284</v>
      </c>
      <c r="D24" s="6" t="s">
        <v>427</v>
      </c>
      <c r="E24" s="14">
        <f>('04_LOAD_TRANSFER_ROLL_GRIP'!E50 * '02_INPUT_VARIABLES'!E57 + '04_LOAD_TRANSFER_ROLL_GRIP'!E42 * '02_INPUT_VARIABLES'!E26) / 1000</f>
        <v>105.9867837</v>
      </c>
      <c r="F24" s="16">
        <f>('04_LOAD_TRANSFER_ROLL_GRIP'!F50 * '02_INPUT_VARIABLES'!F57 + '04_LOAD_TRANSFER_ROLL_GRIP'!F42 * '02_INPUT_VARIABLES'!F26) / 1000</f>
        <v>104.640725</v>
      </c>
      <c r="G24" s="12" t="s">
        <v>62</v>
      </c>
    </row>
    <row r="25">
      <c r="A25" s="8" t="s">
        <v>434</v>
      </c>
      <c r="B25" s="9" t="s">
        <v>436</v>
      </c>
      <c r="C25" s="10" t="s">
        <v>437</v>
      </c>
      <c r="D25" s="6" t="s">
        <v>438</v>
      </c>
      <c r="E25" s="14">
        <f t="shared" ref="E25:F25" si="7">(PI() * 25^3) / 32</f>
        <v>1533.980788</v>
      </c>
      <c r="F25" s="16">
        <f t="shared" si="7"/>
        <v>1533.980788</v>
      </c>
      <c r="G25" s="12" t="s">
        <v>358</v>
      </c>
    </row>
    <row r="26">
      <c r="A26" s="8" t="s">
        <v>440</v>
      </c>
      <c r="B26" s="9" t="s">
        <v>441</v>
      </c>
      <c r="C26" s="10" t="s">
        <v>246</v>
      </c>
      <c r="D26" s="6" t="s">
        <v>442</v>
      </c>
      <c r="E26" s="62">
        <f t="shared" ref="E26:F26" si="8">(E24 * 1000) / E25</f>
        <v>69.0926409</v>
      </c>
      <c r="F26" s="63">
        <f t="shared" si="8"/>
        <v>68.21514701</v>
      </c>
      <c r="G26" s="12" t="s">
        <v>358</v>
      </c>
    </row>
    <row r="27">
      <c r="A27" s="8" t="s">
        <v>430</v>
      </c>
      <c r="B27" s="9" t="s">
        <v>431</v>
      </c>
      <c r="C27" s="10" t="s">
        <v>87</v>
      </c>
      <c r="D27" s="6" t="s">
        <v>445</v>
      </c>
      <c r="E27" s="62">
        <f>'02_INPUT_VARIABLES'!E56 / E26</f>
        <v>4.776196071</v>
      </c>
      <c r="F27" s="63">
        <f>'02_INPUT_VARIABLES'!F56 / F26</f>
        <v>4.837635254</v>
      </c>
      <c r="G27" s="12" t="s">
        <v>422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:G1"/>
    <mergeCell ref="A4:G4"/>
    <mergeCell ref="A8:G8"/>
    <mergeCell ref="A15:G15"/>
    <mergeCell ref="A19:G19"/>
    <mergeCell ref="A23:G23"/>
  </mergeCells>
  <printOptions/>
  <pageMargins left="0.75" right="0.75" top="1" bottom="1" header="0.0" footer="0.0"/>
  <pageSetup orientation="landscape"/>
  <drawing r:id="rId1"/>
</worksheet>
</file>

<file path=xl/worksheets/sheet6.xml><?xml version="1.0" encoding="utf-8"?>
<worksheet xmlns="http://schemas.openxmlformats.org/spreadsheetml/2006/main">
  <dimension ref="A1:F26"/>
  <cols>
    <col min="1" max="1" width="40" customWidth="1"/>
    <col min="2" max="2" width="34" customWidth="1"/>
    <col min="3" max="3" width="15" customWidth="1"/>
    <col min="4" max="4" width="100" customWidth="1"/>
    <col min="6" max="6" width="90" customWidth="1"/>
  </cols>
  <sheetData>
    <row r="1">
      <c r="A1" t="inlineStr">
        <is>
          <t>Variable</t>
        </is>
      </c>
      <c r="B1" t="inlineStr">
        <is>
          <t>Value</t>
        </is>
      </c>
      <c r="C1" t="inlineStr">
        <is>
          <t>Unit</t>
        </is>
      </c>
      <c r="D1" t="inlineStr">
        <is>
          <t>Description</t>
        </is>
      </c>
      <c r="F1" t="inlineStr">
        <is>
          <t>FRONT TRACK SCREENING ONLY</t>
        </is>
      </c>
    </row>
    <row r="2">
      <c r="A2" t="inlineStr">
        <is>
          <t>front_track_min_mm</t>
        </is>
      </c>
      <c r="B2">
        <v>1200</v>
      </c>
      <c r="C2" t="inlineStr">
        <is>
          <t>mm</t>
        </is>
      </c>
      <c r="D2" t="inlineStr">
        <is>
          <t>Minimum front track width sweep</t>
        </is>
      </c>
      <c r="F2" t="inlineStr">
        <is>
          <t>Column F remains unfinished and is not read.</t>
        </is>
      </c>
    </row>
    <row r="3">
      <c r="A3" t="inlineStr">
        <is>
          <t>front_track_max_mm</t>
        </is>
      </c>
      <c r="B3">
        <v>1280</v>
      </c>
      <c r="C3" t="inlineStr">
        <is>
          <t>mm</t>
        </is>
      </c>
      <c r="D3" t="inlineStr">
        <is>
          <t>Maximum front track width sweep</t>
        </is>
      </c>
      <c r="F3" t="inlineStr">
        <is>
          <t>Historical Excel dashboards are not updated MATLAB study results.</t>
        </is>
      </c>
    </row>
    <row r="4">
      <c r="A4" t="inlineStr">
        <is>
          <t>track_step_mm</t>
        </is>
      </c>
      <c r="B4">
        <v>5</v>
      </c>
      <c r="C4" t="inlineStr">
        <is>
          <t>mm</t>
        </is>
      </c>
      <c r="D4" t="inlineStr">
        <is>
          <t>Track width sweep increment</t>
        </is>
      </c>
    </row>
    <row r="5">
      <c r="A5" t="inlineStr">
        <is>
          <t>rear_track_delta_mode</t>
        </is>
      </c>
      <c r="B5" t="inlineStr">
        <is>
          <t>fixed</t>
        </is>
      </c>
      <c r="C5" t="inlineStr">
        <is>
          <t>text</t>
        </is>
      </c>
      <c r="D5" t="inlineStr">
        <is>
          <t>Front-only study: rear track held at baseline column E.</t>
        </is>
      </c>
    </row>
    <row r="6">
      <c r="A6" t="inlineStr">
        <is>
          <t>tire_section_width_mm</t>
        </is>
      </c>
      <c r="B6">
        <v>205</v>
      </c>
      <c r="C6" t="inlineStr">
        <is>
          <t>mm</t>
        </is>
      </c>
      <c r="D6" t="inlineStr">
        <is>
          <t>Overall tyre section width used for vehicle envelope</t>
        </is>
      </c>
    </row>
    <row r="7">
      <c r="A7" t="inlineStr">
        <is>
          <t>cone_safety_margin_m</t>
        </is>
      </c>
      <c r="B7">
        <v>0.2</v>
      </c>
      <c r="C7" t="inlineStr">
        <is>
          <t>m/side</t>
        </is>
      </c>
      <c r="D7" t="inlineStr">
        <is>
          <t>Minimum tyre-to-cone safety margin</t>
        </is>
      </c>
    </row>
    <row r="8">
      <c r="A8" t="inlineStr">
        <is>
          <t>max_speed_kph</t>
        </is>
      </c>
      <c r="B8">
        <v>105</v>
      </c>
      <c r="C8" t="inlineStr">
        <is>
          <t>km/h</t>
        </is>
      </c>
      <c r="D8" t="inlineStr">
        <is>
          <t>Vehicle top speed limit</t>
        </is>
      </c>
    </row>
    <row r="9">
      <c r="A9" t="inlineStr">
        <is>
          <t>max_accel_mps2</t>
        </is>
      </c>
      <c r="B9">
        <v>5</v>
      </c>
      <c r="C9" t="inlineStr">
        <is>
          <t>m/s^2</t>
        </is>
      </c>
      <c r="D9" t="inlineStr">
        <is>
          <t>Maximum longitudinal acceleration</t>
        </is>
      </c>
    </row>
    <row r="10">
      <c r="A10" t="inlineStr">
        <is>
          <t>max_brake_mps2</t>
        </is>
      </c>
      <c r="B10">
        <v>10</v>
      </c>
      <c r="C10" t="inlineStr">
        <is>
          <t>m/s^2</t>
        </is>
      </c>
      <c r="D10" t="inlineStr">
        <is>
          <t>Maximum braking deceleration magnitude</t>
        </is>
      </c>
    </row>
    <row r="11">
      <c r="A11" t="inlineStr">
        <is>
          <t>cornering_safety_factor</t>
        </is>
      </c>
      <c r="B11">
        <v>0.95</v>
      </c>
      <c r="C11" t="inlineStr">
        <is>
          <t>-</t>
        </is>
      </c>
      <c r="D11" t="inlineStr">
        <is>
          <t>Fraction of calculated lateral grip used</t>
        </is>
      </c>
    </row>
    <row r="12">
      <c r="A12" t="inlineStr">
        <is>
          <t>curvature_smoothing_points</t>
        </is>
      </c>
      <c r="B12">
        <v>11</v>
      </c>
      <c r="C12" t="inlineStr">
        <is>
          <t>points</t>
        </is>
      </c>
      <c r="D12" t="inlineStr">
        <is>
          <t>Curvature estimation window</t>
        </is>
      </c>
    </row>
    <row r="13">
      <c r="A13" t="inlineStr">
        <is>
          <t>speed_profile_iterations</t>
        </is>
      </c>
      <c r="B13">
        <v>100</v>
      </c>
      <c r="C13" t="inlineStr">
        <is>
          <t>passes</t>
        </is>
      </c>
      <c r="D13" t="inlineStr">
        <is>
          <t>Maximum passes; convergence is checked, not assumed.</t>
        </is>
      </c>
    </row>
    <row r="14">
      <c r="A14" t="inlineStr">
        <is>
          <t>track_declared_length_m</t>
        </is>
      </c>
      <c r="B14">
        <v>1050</v>
      </c>
      <c r="C14" t="inlineStr">
        <is>
          <t>m</t>
        </is>
      </c>
      <c r="D14" t="inlineStr">
        <is>
          <t>User supplied length; not independently verified official geometry.</t>
        </is>
      </c>
    </row>
    <row r="15">
      <c r="A15" t="inlineStr">
        <is>
          <t>track_width_m</t>
        </is>
      </c>
      <c r="B15">
        <v>5</v>
      </c>
      <c r="C15" t="inlineStr">
        <is>
          <t>m</t>
        </is>
      </c>
      <c r="D15" t="inlineStr">
        <is>
          <t>Nominal cone corridor width</t>
        </is>
      </c>
    </row>
    <row r="16">
      <c r="A16" t="inlineStr">
        <is>
          <t>skidpad_inner_diameter_m</t>
        </is>
      </c>
      <c r="B16">
        <v>15.25</v>
      </c>
      <c r="C16" t="inlineStr">
        <is>
          <t>m</t>
        </is>
      </c>
      <c r="D16" t="inlineStr">
        <is>
          <t>Inner circle diameter from skidpad diagram</t>
        </is>
      </c>
    </row>
    <row r="17">
      <c r="A17" t="inlineStr">
        <is>
          <t>skidpad_lane_width_m</t>
        </is>
      </c>
      <c r="B17">
        <v>3</v>
      </c>
      <c r="C17" t="inlineStr">
        <is>
          <t>m</t>
        </is>
      </c>
      <c r="D17" t="inlineStr">
        <is>
          <t>Width between inner and outer cone circles</t>
        </is>
      </c>
    </row>
    <row r="18">
      <c r="A18" t="inlineStr">
        <is>
          <t>skidpad_center_distance_m</t>
        </is>
      </c>
      <c r="B18">
        <v>18.25</v>
      </c>
      <c r="C18" t="inlineStr">
        <is>
          <t>m</t>
        </is>
      </c>
      <c r="D18" t="inlineStr">
        <is>
          <t>Distance between left and right circle centers</t>
        </is>
      </c>
    </row>
    <row r="19">
      <c r="A19" t="inlineStr">
        <is>
          <t>skidpad_timed_laps_per_direction</t>
        </is>
      </c>
      <c r="B19">
        <v>1</v>
      </c>
      <c r="C19" t="inlineStr">
        <is>
          <t>laps/direction</t>
        </is>
      </c>
      <c r="D19" t="inlineStr">
        <is>
          <t>Number of steady-state timed laps in each direction</t>
        </is>
      </c>
    </row>
    <row r="20">
      <c r="A20" t="inlineStr">
        <is>
          <t>skidpad_max_steer_deg</t>
        </is>
      </c>
      <c r="B20">
        <v>35</v>
      </c>
      <c r="C20" t="inlineStr">
        <is>
          <t>deg</t>
        </is>
      </c>
      <c r="D20" t="inlineStr">
        <is>
          <t>ASSUMED ideal road-wheel limit; NOT measured fixed-rack capability.</t>
        </is>
      </c>
    </row>
    <row r="21">
      <c r="A21" t="inlineStr">
        <is>
          <t>motion_ratio_convention</t>
        </is>
      </c>
      <c r="B21" t="inlineStr">
        <is>
          <t>spring_over_wheel</t>
        </is>
      </c>
      <c r="C21" t="inlineStr">
        <is>
          <t>text</t>
        </is>
      </c>
      <c r="D21" t="inlineStr">
        <is>
          <t>Preserves original Kspring*IR^2. Original input label says wheel/spring: VERIFY MEASURED DEFINITION.</t>
        </is>
      </c>
    </row>
    <row r="22">
      <c r="A22" t="inlineStr">
        <is>
          <t>path_scale_mode</t>
        </is>
      </c>
      <c r="B22" t="inlineStr">
        <is>
          <t>raw</t>
        </is>
      </c>
      <c r="C22" t="inlineStr">
        <is>
          <t>text</t>
        </is>
      </c>
      <c r="D22" t="inlineStr">
        <is>
          <t>raw or uniform_to_declared_length. Uniform mode scales coordinates, distance and curvature together.</t>
        </is>
      </c>
    </row>
    <row r="23">
      <c r="A23" t="inlineStr">
        <is>
          <t>speed_convergence_mps</t>
        </is>
      </c>
      <c r="B23">
        <v>1e-08</v>
      </c>
      <c r="C23" t="inlineStr">
        <is>
          <t>m/s</t>
        </is>
      </c>
      <c r="D23" t="inlineStr">
        <is>
          <t>Maximum change in the periodic speed solution before accepting convergence.</t>
        </is>
      </c>
    </row>
    <row r="24">
      <c r="A24" t="inlineStr">
        <is>
          <t>run_sensitivity</t>
        </is>
      </c>
      <c r="B24">
        <v>1</v>
      </c>
      <c r="C24" t="inlineStr">
        <is>
          <t>0/1</t>
        </is>
      </c>
      <c r="D24" t="inlineStr">
        <is>
          <t>Run baseline-versus-candidate perturbations; assumptions, not confidence intervals.</t>
        </is>
      </c>
    </row>
    <row r="25">
      <c r="A25" t="inlineStr">
        <is>
          <t>sensitivity_mu_fraction</t>
        </is>
      </c>
      <c r="B25">
        <v>0.1</v>
      </c>
      <c r="C25" t="inlineStr">
        <is>
          <t>fraction</t>
        </is>
      </c>
      <c r="D25" t="inlineStr">
        <is>
          <t>Example proportional perturbation of the full mu(Fz) curve: plus/minus 10%.</t>
        </is>
      </c>
    </row>
    <row r="26">
      <c r="A26" t="inlineStr">
        <is>
          <t>sensitivity_h_mm</t>
        </is>
      </c>
      <c r="B26">
        <v>20</v>
      </c>
      <c r="C26" t="inlineStr">
        <is>
          <t>mm</t>
        </is>
      </c>
      <c r="D26" t="inlineStr">
        <is>
          <t>Example CG-height perturbation: plus/minus 20 mm; not measured uncertainty.</t>
        </is>
      </c>
    </row>
  </sheetData>
</worksheet>
</file>